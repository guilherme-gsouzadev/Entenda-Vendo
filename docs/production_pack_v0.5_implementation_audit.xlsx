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e49f78bc334962" /></Relationships>
</file>

<file path=xl/workbook.xml><?xml version="1.0" encoding="utf-8"?>
<x:workbook xmlns:x="http://schemas.openxmlformats.org/spreadsheetml/2006/main">
  <x:sheets>
    <x:sheet xmlns:r="http://schemas.openxmlformats.org/officeDocument/2006/relationships" name="Dashboard" sheetId="1" r:id="Rb07d162521b24955"/>
    <x:sheet xmlns:r="http://schemas.openxmlformats.org/officeDocument/2006/relationships" name="ScenePlan" sheetId="2" r:id="Reb9c64dd0cfa4236"/>
    <x:sheet xmlns:r="http://schemas.openxmlformats.org/officeDocument/2006/relationships" name="AssetLibrary" sheetId="3" r:id="Rae3ca9aebca74759"/>
    <x:sheet xmlns:r="http://schemas.openxmlformats.org/officeDocument/2006/relationships" name="VoiceoverChunks" sheetId="4" r:id="R8cae5f0b607d4a95"/>
    <x:sheet xmlns:r="http://schemas.openxmlformats.org/officeDocument/2006/relationships" name="AnimationPatterns" sheetId="5" r:id="R1dec6edc1b474bd6"/>
    <x:sheet xmlns:r="http://schemas.openxmlformats.org/officeDocument/2006/relationships" name="ThumbnailTests" sheetId="6" r:id="Re215b43666074f69"/>
    <x:sheet xmlns:r="http://schemas.openxmlformats.org/officeDocument/2006/relationships" name="PromptLibrary" sheetId="7" r:id="R03fa614ec1ee49de"/>
    <x:sheet xmlns:r="http://schemas.openxmlformats.org/officeDocument/2006/relationships" name="ProductionQA" sheetId="8" r:id="Rde3c262bc3c14d31"/>
    <x:sheet xmlns:r="http://schemas.openxmlformats.org/officeDocument/2006/relationships" name="FileStructure" sheetId="9" r:id="R0cf75db77f2d4f23"/>
    <x:sheet xmlns:r="http://schemas.openxmlformats.org/officeDocument/2006/relationships" name="A2VisualSystem" sheetId="10" r:id="R46c540251c9243c9"/>
    <x:sheet xmlns:r="http://schemas.openxmlformats.org/officeDocument/2006/relationships" name="CharacterKit" sheetId="11" r:id="Ra61cc28e060c420b"/>
    <x:sheet xmlns:r="http://schemas.openxmlformats.org/officeDocument/2006/relationships" name="A2SceneRevision" sheetId="12" r:id="R3a282fbc423f46d0"/>
    <x:sheet xmlns:r="http://schemas.openxmlformats.org/officeDocument/2006/relationships" name="VisualQA" sheetId="13" r:id="R47429b5effe24172"/>
    <x:sheet xmlns:r="http://schemas.openxmlformats.org/officeDocument/2006/relationships" name="FinalShotSpec" sheetId="14" r:id="R1d235ae657c34674"/>
    <x:sheet xmlns:r="http://schemas.openxmlformats.org/officeDocument/2006/relationships" name="PublishMetadata" sheetId="15" r:id="R66129a883bea46db"/>
    <x:sheet xmlns:r="http://schemas.openxmlformats.org/officeDocument/2006/relationships" name="ProductionGate" sheetId="16" r:id="R9e8ae3587d514f27"/>
    <x:sheet xmlns:r="http://schemas.openxmlformats.org/officeDocument/2006/relationships" name="ToolchainDecision" sheetId="17" r:id="Rf06e6634bb014880"/>
    <x:sheet xmlns:r="http://schemas.openxmlformats.org/officeDocument/2006/relationships" name="ArtifactIndex" sheetId="18" r:id="Rbf7b85b6c20e470a"/>
    <x:sheet xmlns:r="http://schemas.openxmlformats.org/officeDocument/2006/relationships" name="ImplementationAudit" sheetId="19" r:id="Re2d515866a0a4240"/>
    <x:sheet xmlns:r="http://schemas.openxmlformats.org/officeDocument/2006/relationships" name="MathAudit" sheetId="20" r:id="R9b2a251655084e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4"/>
      <x:color rgb="FFFFFFFF"/>
      <x:name val="Carlito"/>
    </x:font>
    <x:font>
      <x:b/>
      <x:sz val="11"/>
      <x:color rgb="FFFFFFFF"/>
      <x:name val="Carlito"/>
    </x:font>
    <x:font>
      <x:b/>
      <x:sz val="11"/>
      <x:name val="Carlito"/>
    </x:font>
    <x:font>
      <x:b/>
      <x:sz val="11"/>
      <x:color rgb="FF172B38"/>
      <x:name val="Carlito"/>
    </x:font>
  </x:fonts>
  <x:fills count="26">
    <x:fill>
      <x:patternFill patternType="none"/>
    </x:fill>
    <x:fill>
      <x:patternFill patternType="gray125"/>
    </x:fill>
    <x:fill>
      <x:patternFill patternType="solid">
        <x:fgColor rgb="FF111827"/>
      </x:patternFill>
    </x:fill>
    <x:fill>
      <x:patternFill patternType="solid">
        <x:fgColor rgb="FF2563EB"/>
      </x:patternFill>
    </x:fill>
    <x:fill>
      <x:patternFill patternType="solid">
        <x:fgColor rgb="FF1E3A8A"/>
      </x:patternFill>
    </x:fill>
    <x:fill>
      <x:patternFill patternType="solid">
        <x:fgColor rgb="FF0F766E"/>
      </x:patternFill>
    </x:fill>
    <x:fill>
      <x:patternFill patternType="solid">
        <x:fgColor rgb="FF7C3AED"/>
      </x:patternFill>
    </x:fill>
    <x:fill>
      <x:patternFill patternType="solid">
        <x:fgColor rgb="FFB45309"/>
      </x:patternFill>
    </x:fill>
    <x:fill>
      <x:patternFill patternType="solid">
        <x:fgColor rgb="FFBE123C"/>
      </x:patternFill>
    </x:fill>
    <x:fill>
      <x:patternFill patternType="solid">
        <x:fgColor rgb="FF374151"/>
      </x:patternFill>
    </x:fill>
    <x:fill>
      <x:patternFill patternType="solid">
        <x:fgColor rgb="FF166534"/>
      </x:patternFill>
    </x:fill>
    <x:fill>
      <x:patternFill patternType="solid">
        <x:fgColor rgb="FF475569"/>
      </x:patternFill>
    </x:fill>
    <x:fill>
      <x:patternFill patternType="solid">
        <x:fgColor rgb="FF111827"/>
      </x:patternFill>
    </x:fill>
    <x:fill>
      <x:patternFill patternType="solid">
        <x:fgColor rgb="FF2563EB"/>
      </x:patternFill>
    </x:fill>
    <x:fill>
      <x:patternFill patternType="solid">
        <x:fgColor rgb="FF0F766E"/>
      </x:patternFill>
    </x:fill>
    <x:fill>
      <x:patternFill patternType="solid">
        <x:fgColor rgb="FF7C3AED"/>
      </x:patternFill>
    </x:fill>
    <x:fill>
      <x:patternFill patternType="solid">
        <x:fgColor rgb="FFE5E7EB"/>
      </x:patternFill>
    </x:fill>
    <x:fill>
      <x:patternFill patternType="solid">
        <x:fgColor rgb="FFBE123C"/>
      </x:patternFill>
    </x:fill>
    <x:fill>
      <x:patternFill patternType="solid">
        <x:fgColor rgb="FF991B1B"/>
      </x:patternFill>
    </x:fill>
    <x:fill>
      <x:patternFill patternType="solid">
        <x:fgColor rgb="FF1E3A8A"/>
      </x:patternFill>
    </x:fill>
    <x:fill>
      <x:patternFill patternType="solid">
        <x:fgColor rgb="FF0F766E"/>
      </x:patternFill>
    </x:fill>
    <x:fill>
      <x:patternFill patternType="solid">
        <x:fgColor rgb="FF334155"/>
      </x:patternFill>
    </x:fill>
    <x:fill>
      <x:patternFill patternType="solid">
        <x:fgColor rgb="FF111827"/>
      </x:patternFill>
    </x:fill>
    <x:fill>
      <x:patternFill patternType="solid">
        <x:fgColor rgb="FF0F766E"/>
      </x:patternFill>
    </x:fill>
    <x:fill>
      <x:patternFill patternType="solid">
        <x:fgColor rgb="FF172B38"/>
      </x:patternFill>
    </x:fill>
    <x:fill>
      <x:patternFill patternType="solid">
        <x:fgColor rgb="FFDDEEF1"/>
      </x:patternFill>
    </x:fill>
  </x:fills>
  <x:borders count="2">
    <x:border/>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0" fillId="7" borderId="1" xfId="0" applyNumberFormat="1" applyFont="1" applyFill="1" applyBorder="1"/>
    <x:xf numFmtId="0" fontId="2" fillId="7"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9" borderId="1" xfId="0" applyNumberFormat="1" applyFont="1" applyFill="1" applyBorder="1"/>
    <x:xf numFmtId="0" fontId="2" fillId="9" borderId="1"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0" fillId="10" borderId="1" xfId="0" applyNumberFormat="1" applyFont="1" applyFill="1" applyBorder="1"/>
    <x:xf numFmtId="0" fontId="2" fillId="10" borderId="1" xfId="0" applyNumberFormat="1" applyFont="1" applyFill="1" applyBorder="1"/>
    <x:xf numFmtId="0" fontId="0" fillId="11" borderId="0" xfId="0" applyNumberFormat="1" applyFont="1" applyFill="1" applyBorder="1"/>
    <x:xf numFmtId="0" fontId="2" fillId="11" borderId="0" xfId="0" applyNumberFormat="1" applyFont="1" applyFill="1" applyBorder="1"/>
    <x:xf numFmtId="0" fontId="0" fillId="11" borderId="1" xfId="0" applyNumberFormat="1" applyFont="1" applyFill="1" applyBorder="1"/>
    <x:xf numFmtId="0" fontId="2" fillId="11" borderId="1" xfId="0" applyNumberFormat="1" applyFont="1" applyFill="1" applyBorder="1"/>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2" fillId="13"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1" fillId="12" borderId="0" xfId="0" applyNumberFormat="1" applyFont="1" applyFill="1" applyBorder="1" applyAlignment="1">
      <x:alignment wrapText="1"/>
    </x:xf>
    <x:xf numFmtId="0" fontId="2" fillId="13" borderId="0" xfId="0" applyNumberFormat="1" applyFont="1" applyFill="1" applyBorder="1" applyAlignment="1">
      <x:alignment wrapText="1"/>
    </x:xf>
    <x:xf numFmtId="0" fontId="2" fillId="14"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2" fillId="17" borderId="0" xfId="0" applyNumberFormat="1" applyFont="1" applyFill="1" applyBorder="1"/>
    <x:xf numFmtId="0" fontId="2" fillId="5"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0" fillId="19" borderId="0" xfId="0" applyNumberFormat="1" applyFont="1" applyFill="1" applyBorder="1"/>
    <x:xf numFmtId="0" fontId="2" fillId="19" borderId="0" xfId="0" applyNumberFormat="1" applyFont="1" applyFill="1" applyBorder="1"/>
    <x:xf numFmtId="0" fontId="0" fillId="20" borderId="0" xfId="0" applyNumberFormat="1" applyFont="1" applyFill="1" applyBorder="1"/>
    <x:xf numFmtId="0" fontId="2"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2" fillId="22" borderId="0" xfId="0" applyNumberFormat="1" applyFont="1" applyFill="1" applyBorder="1"/>
    <x:xf numFmtId="0" fontId="0" fillId="23" borderId="0" xfId="0" applyNumberFormat="1" applyFont="1" applyFill="1" applyBorder="1"/>
    <x:xf numFmtId="0" fontId="2" fillId="23" borderId="0" xfId="0" applyNumberFormat="1" applyFont="1" applyFill="1" applyBorder="1"/>
    <x:xf numFmtId="0" fontId="2" fillId="2"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2" fillId="24" borderId="0" xfId="0" applyNumberFormat="1" applyFont="1" applyFill="1" applyBorder="1" applyAlignment="1">
      <x:alignment wrapText="1"/>
    </x:xf>
    <x:xf numFmtId="200" fontId="0" fillId="0" borderId="0" xfId="0" applyNumberFormat="1" applyFont="1" applyFill="1" applyBorder="1"/>
    <x:xf numFmtId="0" fontId="0" fillId="25" borderId="0" xfId="0" applyNumberFormat="1" applyFont="1" applyFill="1" applyBorder="1"/>
    <x:xf numFmtId="0" fontId="4" fillId="25" borderId="0" xfId="0" applyNumberFormat="1" applyFont="1" applyFill="1" applyBorder="1"/>
  </x:cellXfs>
  <x:cellStyles count="1">
    <x:cellStyle name="Normal" xfId="0"/>
  </x:cellStyles>
  <x:dxfs count="15">
    <x:dxf>
      <x:fill>
        <x:patternFill>
          <x:bgColor rgb="FFDCFCE7"/>
        </x:patternFill>
      </x:fill>
    </x:dxf>
    <x:dxf>
      <x:fill>
        <x:patternFill>
          <x:bgColor rgb="FFFEE2E2"/>
        </x:patternFill>
      </x:fill>
    </x:dxf>
    <x:dxf>
      <x:fill>
        <x:patternFill>
          <x:bgColor rgb="FFFEF3C7"/>
        </x:patternFill>
      </x:fill>
    </x:dxf>
    <x:dxf>
      <x:fill>
        <x:patternFill>
          <x:bgColor rgb="FFDCFCE7"/>
        </x:patternFill>
      </x:fill>
    </x:dxf>
    <x:dxf>
      <x:fill>
        <x:patternFill>
          <x:bgColor rgb="FFFEE2E2"/>
        </x:patternFill>
      </x:fill>
    </x:dxf>
    <x:dxf>
      <x:fill>
        <x:patternFill>
          <x:bgColor rgb="FFDCFCE7"/>
        </x:patternFill>
      </x:fill>
    </x:dxf>
    <x:dxf>
      <x:fill>
        <x:patternFill>
          <x:bgColor rgb="FFFEE2E2"/>
        </x:patternFill>
      </x:fill>
    </x:dxf>
    <x:dxf>
      <x:font>
        <x:b/>
      </x:font>
      <x:fill>
        <x:patternFill>
          <x:bgColor rgb="FFFEE2E2"/>
        </x:patternFill>
      </x:fill>
    </x:dxf>
    <x:dxf>
      <x:fill>
        <x:patternFill>
          <x:bgColor rgb="FFDCFCE7"/>
        </x:patternFill>
      </x:fill>
    </x:dxf>
    <x:dxf>
      <x:fill>
        <x:patternFill>
          <x:bgColor rgb="FFFEF3C7"/>
        </x:patternFill>
      </x:fill>
    </x:dxf>
    <x:dxf>
      <x:fill>
        <x:patternFill>
          <x:bgColor rgb="FFDCFCE7"/>
        </x:patternFill>
      </x:fill>
    </x:dxf>
    <x:dxf>
      <x:fill>
        <x:patternFill>
          <x:bgColor rgb="FFFEE2E2"/>
        </x:patternFill>
      </x:fill>
    </x:dxf>
    <x:dxf>
      <x:fill>
        <x:patternFill>
          <x:bgColor rgb="FFFEF3C7"/>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3b35f6368748f3" /><Relationship Type="http://schemas.openxmlformats.org/officeDocument/2006/relationships/theme" Target="/xl/theme/theme1.xml" Id="Rea5b3203075748f2" /><Relationship Type="http://schemas.microsoft.com/office/2022/11/relationships/FeaturePropertyBag" Target="/xl/featurePropertyBag/featurePropertyBag.xml" Id="R0d5e547b573b4cd7" /><Relationship Type="http://schemas.openxmlformats.org/officeDocument/2006/relationships/sharedStrings" Target="/xl/sharedStrings.xml" Id="Rdec2e250993c4c67" /><Relationship Type="http://schemas.openxmlformats.org/officeDocument/2006/relationships/worksheet" Target="/xl/worksheets/sheet1.xml" Id="Rb07d162521b24955" /><Relationship Type="http://schemas.openxmlformats.org/officeDocument/2006/relationships/worksheet" Target="/xl/worksheets/sheet2.xml" Id="Reb9c64dd0cfa4236" /><Relationship Type="http://schemas.openxmlformats.org/officeDocument/2006/relationships/worksheet" Target="/xl/worksheets/sheet3.xml" Id="Rae3ca9aebca74759" /><Relationship Type="http://schemas.openxmlformats.org/officeDocument/2006/relationships/worksheet" Target="/xl/worksheets/sheet4.xml" Id="R8cae5f0b607d4a95" /><Relationship Type="http://schemas.openxmlformats.org/officeDocument/2006/relationships/worksheet" Target="/xl/worksheets/sheet5.xml" Id="R1dec6edc1b474bd6" /><Relationship Type="http://schemas.openxmlformats.org/officeDocument/2006/relationships/worksheet" Target="/xl/worksheets/sheet6.xml" Id="Re215b43666074f69" /><Relationship Type="http://schemas.openxmlformats.org/officeDocument/2006/relationships/worksheet" Target="/xl/worksheets/sheet7.xml" Id="R03fa614ec1ee49de" /><Relationship Type="http://schemas.openxmlformats.org/officeDocument/2006/relationships/worksheet" Target="/xl/worksheets/sheet8.xml" Id="Rde3c262bc3c14d31" /><Relationship Type="http://schemas.openxmlformats.org/officeDocument/2006/relationships/worksheet" Target="/xl/worksheets/sheet9.xml" Id="R0cf75db77f2d4f23" /><Relationship Type="http://schemas.openxmlformats.org/officeDocument/2006/relationships/worksheet" Target="/xl/worksheets/sheet10.xml" Id="R46c540251c9243c9" /><Relationship Type="http://schemas.openxmlformats.org/officeDocument/2006/relationships/worksheet" Target="/xl/worksheets/sheet11.xml" Id="Ra61cc28e060c420b" /><Relationship Type="http://schemas.openxmlformats.org/officeDocument/2006/relationships/worksheet" Target="/xl/worksheets/sheet12.xml" Id="R3a282fbc423f46d0" /><Relationship Type="http://schemas.openxmlformats.org/officeDocument/2006/relationships/worksheet" Target="/xl/worksheets/sheet13.xml" Id="R47429b5effe24172" /><Relationship Type="http://schemas.openxmlformats.org/officeDocument/2006/relationships/worksheet" Target="/xl/worksheets/sheet14.xml" Id="R1d235ae657c34674" /><Relationship Type="http://schemas.openxmlformats.org/officeDocument/2006/relationships/worksheet" Target="/xl/worksheets/sheet15.xml" Id="R66129a883bea46db" /><Relationship Type="http://schemas.openxmlformats.org/officeDocument/2006/relationships/worksheet" Target="/xl/worksheets/sheet16.xml" Id="R9e8ae3587d514f27" /><Relationship Type="http://schemas.openxmlformats.org/officeDocument/2006/relationships/worksheet" Target="/xl/worksheets/sheet17.xml" Id="Rf06e6634bb014880" /><Relationship Type="http://schemas.openxmlformats.org/officeDocument/2006/relationships/worksheet" Target="/xl/worksheets/sheet18.xml" Id="Rbf7b85b6c20e470a" /><Relationship Type="http://schemas.openxmlformats.org/officeDocument/2006/relationships/worksheet" Target="/xl/worksheets/sheet19.xml" Id="Re2d515866a0a4240" /><Relationship Type="http://schemas.openxmlformats.org/officeDocument/2006/relationships/worksheet" Target="/xl/worksheets/sheet20.xml" Id="R9b2a251655084e23"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afb8eff4ea44b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Duração por cena</a:t>
            </a:r>
          </a:p>
        </c:rich>
      </c:tx>
      <c:overlay val="0"/>
    </c:title>
    <c:plotArea>
      <c:barChart>
        <c:barDir val="col"/>
        <c:varyColors val="0"/>
        <c:ser>
          <c:idx val="0"/>
          <c:order val="0"/>
          <c:tx>
            <c:v>StartSec</c:v>
          </c:tx>
          <c:cat>
            <c:strRef>
              <c:f>'ScenePlan'!$A$2:$A$10</c:f>
              <c:strCache>
                <c:ptCount val="0"/>
              </c:strCache>
            </c:strRef>
          </c:cat>
          <c:val>
            <c:numRef>
              <c:f>'ScenePlan'!$B$2:$B$10</c:f>
              <c:numCache>
                <c:formatCode>General</c:formatCode>
                <c:ptCount val="0"/>
              </c:numCache>
            </c:numRef>
          </c:val>
        </c:ser>
        <c:ser>
          <c:idx val="1"/>
          <c:order val="1"/>
          <c:tx>
            <c:v>EndSec</c:v>
          </c:tx>
          <c:cat>
            <c:strRef>
              <c:f>'ScenePlan'!$A$2:$A$10</c:f>
              <c:strCache>
                <c:ptCount val="0"/>
              </c:strCache>
            </c:strRef>
          </c:cat>
          <c:val>
            <c:numRef>
              <c:f>'ScenePlan'!$C$2:$C$10</c:f>
              <c:numCache>
                <c:formatCode>General</c:formatCode>
                <c:ptCount val="0"/>
              </c:numCache>
            </c:numRef>
          </c:val>
        </c:ser>
        <c:ser>
          <c:idx val="2"/>
          <c:order val="2"/>
          <c:tx>
            <c:v>DurationSec</c:v>
          </c:tx>
          <c:cat>
            <c:strRef>
              <c:f>'ScenePlan'!$A$2:$A$10</c:f>
              <c:strCache>
                <c:ptCount val="0"/>
              </c:strCache>
            </c:strRef>
          </c:cat>
          <c:val>
            <c:numRef>
              <c:f>'ScenePlan'!$D$2:$D$10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17</xdr:col>
      <xdr:colOff>0</xdr:colOff>
      <xdr:row>1</xdr:row>
      <xdr:rowOff>0</xdr:rowOff>
    </xdr:from>
    <xdr:to>
      <xdr:col>26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afb8eff4ea44b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240349edf284021" /></Relationships>
</file>

<file path=xl/worksheets/sheet1.xml><?xml version="1.0" encoding="utf-8"?>
<x:worksheet xmlns:x="http://schemas.openxmlformats.org/spreadsheetml/2006/main">
  <x:sheetFormatPr defaultRowHeight="15"/>
  <x:cols>
    <x:col min="1" max="1" width="32" hidden="0" customWidth="1"/>
    <x:col min="2" max="2" width="88" hidden="0" customWidth="1"/>
  </x:cols>
  <x:sheetData>
    <x:row r="1">
      <x:c r="A1" s="10" t="str">
        <x:v>ENTENDA VENDO — MVP 01</x:v>
      </x:c>
      <x:c r="B1" s="10" t="str">
        <x:v>Probabilidade para Concursos</x:v>
      </x:c>
    </x:row>
    <x:row r="2">
      <x:c r="A2" s="11" t="str">
        <x:v>Objetivo</x:v>
      </x:c>
      <x:c r="B2" s="11" t="str">
        <x:v>Produzir o primeiro vídeo completo do canal com linguagem visual reutilizável.</x:v>
      </x:c>
    </x:row>
    <x:row r="3">
      <x:c r="A3" s="11" t="str">
        <x:v>Status geral</x:v>
      </x:c>
      <x:c r="B3" s="11" t="str">
        <x:v>IMPLEMENTAÇÃO FONTE CRIADA — REMOTION NÃO EXECUTADO NESTE AMBIENTE</x:v>
      </x:c>
    </x:row>
    <x:row r="4">
      <x:c r="A4" s="11" t="str"/>
      <x:c r="B4" s="11" t="str"/>
    </x:row>
    <x:row r="5">
      <x:c r="A5" s="12" t="str">
        <x:v>KPI</x:v>
      </x:c>
      <x:c r="B5" s="12" t="str">
        <x:v>Valor</x:v>
      </x:c>
    </x:row>
    <x:row r="6">
      <x:c r="A6" s="11" t="str">
        <x:v>Cenas principais</x:v>
      </x:c>
      <x:c r="B6" s="11" t="n">
        <x:v>9</x:v>
      </x:c>
    </x:row>
    <x:row r="7">
      <x:c r="A7" s="11" t="str">
        <x:v>Duração alvo (s)</x:v>
      </x:c>
      <x:c r="B7" s="11" t="n">
        <x:v>560</x:v>
      </x:c>
    </x:row>
    <x:row r="8">
      <x:c r="A8" s="11" t="str">
        <x:v>Assets planejados</x:v>
      </x:c>
      <x:c r="B8" s="11" t="n">
        <x:v>28</x:v>
      </x:c>
    </x:row>
    <x:row r="9">
      <x:c r="A9" s="11" t="str">
        <x:v>Blocos de voz</x:v>
      </x:c>
      <x:c r="B9" s="11" t="n">
        <x:v>18</x:v>
      </x:c>
    </x:row>
    <x:row r="10">
      <x:c r="A10" s="11" t="str">
        <x:v>Thumbnails para teste</x:v>
      </x:c>
      <x:c r="B10" s="11" t="n">
        <x:v>3</x:v>
      </x:c>
    </x:row>
    <x:row r="11">
      <x:c r="A11" s="11" t="str"/>
      <x:c r="B11" s="11" t="str"/>
    </x:row>
    <x:row r="12">
      <x:c r="A12" s="11" t="str">
        <x:v>Próximo gate</x:v>
      </x:c>
      <x:c r="B12" s="11" t="str">
        <x:v>Instalar dependências do projeto, rodar Studio e render QA de SH11/SH12; depois escolher voz e alinhar legendas.</x:v>
      </x:c>
    </x:row>
    <x:row r="13">
      <x:c r="A13" s="69" t="str">
        <x:v>Direção visual</x:v>
      </x:c>
      <x:c r="B13" s="11" t="str">
        <x:v>A2 — Editorial Visual Storytelling</x:v>
      </x:c>
    </x:row>
    <x:row r="14">
      <x:c r="A14" s="69" t="str">
        <x:v>Personagens</x:v>
      </x:c>
      <x:c r="B14" s="11" t="str">
        <x:v>3 papéis reutilizáveis especificados; C01 será usado no piloto.</x:v>
      </x:c>
    </x:row>
    <x:row r="15">
      <x:c r="A15" s="69" t="str">
        <x:v>Princípio visual</x:v>
      </x:c>
      <x:c r="B15" s="11" t="str">
        <x:v>História → representação → abstração → fórmula → aplicação.</x:v>
      </x:c>
    </x:row>
    <x:row r="16">
      <x:c r="A16" s="69" t="str">
        <x:v>Uso de 3D</x:v>
      </x:c>
      <x:c r="B16" s="11" t="str">
        <x:v>Somente semi-flat em objetos físicos; raciocínio permanece flat.</x:v>
      </x:c>
    </x:row>
    <x:row r="17">
      <x:c r="A17" s="69" t="str">
        <x:v>Gate atual</x:v>
      </x:c>
      <x:c r="B17" s="11" t="str">
        <x:v>A2 vetorial exportado; QA matemática aprovado; revisão visual e audiovisual pendente.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9" hidden="0" customWidth="1"/>
    <x:col min="3" max="3" width="9" hidden="0" customWidth="1"/>
    <x:col min="4" max="4" width="11" hidden="0" customWidth="1"/>
    <x:col min="5" max="5" width="20" hidden="0" customWidth="1"/>
    <x:col min="6" max="6" width="42" hidden="0" customWidth="1"/>
    <x:col min="7" max="7" width="42" hidden="0" customWidth="1"/>
    <x:col min="8" max="8" width="34" hidden="0" customWidth="1"/>
    <x:col min="9" max="9" width="34" hidden="0" customWidth="1"/>
    <x:col min="10" max="10" width="42" hidden="0" customWidth="1"/>
    <x:col min="11" max="11" width="26" hidden="0" customWidth="1"/>
    <x:col min="12" max="12" width="22" hidden="0" customWidth="1"/>
    <x:col min="13" max="13" width="22" hidden="0" customWidth="1"/>
    <x:col min="14" max="14" width="18" hidden="0" customWidth="1"/>
    <x:col min="15" max="15" width="14" hidden="0" customWidth="1"/>
    <x:col min="16" max="16" width="36" hidden="0" customWidth="1"/>
  </x:cols>
  <x:sheetData>
    <x:row r="1">
      <x:c r="A1" s="18" t="str">
        <x:v>SceneId</x:v>
      </x:c>
      <x:c r="B1" s="18" t="str">
        <x:v>StartSec</x:v>
      </x:c>
      <x:c r="C1" s="18" t="str">
        <x:v>EndSec</x:v>
      </x:c>
      <x:c r="D1" s="18" t="str">
        <x:v>DurationSec</x:v>
      </x:c>
      <x:c r="E1" s="18" t="str">
        <x:v>Section</x:v>
      </x:c>
      <x:c r="F1" s="18" t="str">
        <x:v>NarrationGoal</x:v>
      </x:c>
      <x:c r="G1" s="18" t="str">
        <x:v>VisualGoal</x:v>
      </x:c>
      <x:c r="H1" s="18" t="str">
        <x:v>PrimaryVisual</x:v>
      </x:c>
      <x:c r="I1" s="18" t="str">
        <x:v>SecondaryElements</x:v>
      </x:c>
      <x:c r="J1" s="18" t="str">
        <x:v>Animation</x:v>
      </x:c>
      <x:c r="K1" s="18" t="str">
        <x:v>OnScreenText</x:v>
      </x:c>
      <x:c r="L1" s="18" t="str">
        <x:v>AudioCue</x:v>
      </x:c>
      <x:c r="M1" s="18" t="str">
        <x:v>ReusablePattern</x:v>
      </x:c>
      <x:c r="N1" s="18" t="str">
        <x:v>Dependency</x:v>
      </x:c>
      <x:c r="O1" s="18" t="str">
        <x:v>Status</x:v>
      </x:c>
      <x:c r="P1" s="18" t="str">
        <x:v>QA</x:v>
      </x:c>
    </x:row>
    <x:row r="2">
      <x:c r="A2" t="str">
        <x:v>S01</x:v>
      </x:c>
      <x:c r="B2" t="n">
        <x:v>0</x:v>
      </x:c>
      <x:c r="C2" t="n">
        <x:v>25</x:v>
      </x:c>
      <x:c r="D2" t="n">
        <x:f>C2-B2</x:f>
        <x:v>25</x:v>
      </x:c>
      <x:c r="E2" s="11" t="str">
        <x:v>Hook</x:v>
      </x:c>
      <x:c r="F2" s="11" t="str">
        <x:v>Criar curiosidade antes de qualquer fórmula.</x:v>
      </x:c>
      <x:c r="G2" s="11" t="str">
        <x:v>Fazer o aluno enxergar o problema antes de calcular.</x:v>
      </x:c>
      <x:c r="H2" s="11" t="str">
        <x:v>Urna com 3 bolas azuis e 2 vermelhas</x:v>
      </x:c>
      <x:c r="I2" s="11" t="str">
        <x:v>Bola se movimenta em direção à saída.</x:v>
      </x:c>
      <x:c r="J2" s="11" t="str">
        <x:v>Entrada da urna; bolas surgem; uma bola balança.</x:v>
      </x:c>
      <x:c r="K2" s="11" t="str">
        <x:v>QUAL A CHANCE?</x:v>
      </x:c>
      <x:c r="L2" s="11" t="str">
        <x:v>SFX leve de objeto; sem música dominante.</x:v>
      </x:c>
      <x:c r="M2" s="11" t="str">
        <x:v>Problem First</x:v>
      </x:c>
      <x:c r="N2" s="11" t="str">
        <x:v>Nenhuma</x:v>
      </x:c>
      <x:c r="O2" s="11" t="str">
        <x:v>READY</x:v>
      </x:c>
      <x:c r="P2" s="11" t="str">
        <x:v>Sem fórmula na tela.</x:v>
      </x:c>
    </x:row>
    <x:row r="3">
      <x:c r="A3" t="str">
        <x:v>S02</x:v>
      </x:c>
      <x:c r="B3" t="n">
        <x:v>25</x:v>
      </x:c>
      <x:c r="C3" t="n">
        <x:v>80</x:v>
      </x:c>
      <x:c r="D3" t="n">
        <x:f>C3-B3</x:f>
        <x:v>55</x:v>
      </x:c>
      <x:c r="E3" s="11" t="str">
        <x:v>Origem da probabilidade</x:v>
      </x:c>
      <x:c r="F3" s="11" t="str">
        <x:v>Mostrar de onde vem 3/5.</x:v>
      </x:c>
      <x:c r="G3" s="11" t="str">
        <x:v>Transformar objetos em casos favoráveis/possíveis.</x:v>
      </x:c>
      <x:c r="H3" s="11" t="str">
        <x:v>5 bolas alinhadas</x:v>
      </x:c>
      <x:c r="I3" s="11" t="str">
        <x:v>3 azuis destacadas; rótulos favoráveis/possíveis.</x:v>
      </x:c>
      <x:c r="J3" s="11" t="str">
        <x:v>Urna abre em linha; grupos se separam; fração nasce dos grupos.</x:v>
      </x:c>
      <x:c r="K3" s="11" t="str">
        <x:v>3 favoráveis / 5 possíveis</x:v>
      </x:c>
      <x:c r="L3" s="11" t="str">
        <x:v>Click suave ao destacar.</x:v>
      </x:c>
      <x:c r="M3" s="11" t="str">
        <x:v>Object → Formula</x:v>
      </x:c>
      <x:c r="N3" s="11" t="str">
        <x:v>S01</x:v>
      </x:c>
      <x:c r="O3" s="11" t="str">
        <x:v>READY</x:v>
      </x:c>
      <x:c r="P3" s="11" t="str">
        <x:v>Fração só aparece depois dos objetos.</x:v>
      </x:c>
    </x:row>
    <x:row r="4">
      <x:c r="A4" t="str">
        <x:v>S03</x:v>
      </x:c>
      <x:c r="B4" t="n">
        <x:v>80</x:v>
      </x:c>
      <x:c r="C4" t="n">
        <x:v>150</x:v>
      </x:c>
      <x:c r="D4" t="n">
        <x:f>C4-B4</x:f>
        <x:v>70</x:v>
      </x:c>
      <x:c r="E4" s="11" t="str">
        <x:v>Espaço amostral</x:v>
      </x:c>
      <x:c r="F4" s="11" t="str">
        <x:v>Definir espaço amostral e casos favoráveis.</x:v>
      </x:c>
      <x:c r="G4" s="11" t="str">
        <x:v>Mostrar conjunto total e subconjunto relevante.</x:v>
      </x:c>
      <x:c r="H4" s="11" t="str">
        <x:v>Dado e resultados 1–6</x:v>
      </x:c>
      <x:c r="I4" s="11" t="str">
        <x:v>2,4,6 destacados.</x:v>
      </x:c>
      <x:c r="J4" s="11" t="str">
        <x:v>Dado gira; abre em seis cartões; pares acendem.</x:v>
      </x:c>
      <x:c r="K4" s="11" t="str">
        <x:v>ESPAÇO AMOSTRAL</x:v>
      </x:c>
      <x:c r="L4" s="11" t="str">
        <x:v>SFX discreto de dado.</x:v>
      </x:c>
      <x:c r="M4" s="11" t="str">
        <x:v>Set → Subset</x:v>
      </x:c>
      <x:c r="N4" s="11" t="str">
        <x:v>S02</x:v>
      </x:c>
      <x:c r="O4" s="11" t="str">
        <x:v>READY</x:v>
      </x:c>
      <x:c r="P4" s="11" t="str">
        <x:v>Não sobrecarregar com definição escrita.</x:v>
      </x:c>
    </x:row>
    <x:row r="5">
      <x:c r="A5" t="str">
        <x:v>S04</x:v>
      </x:c>
      <x:c r="B5" t="n">
        <x:v>150</x:v>
      </x:c>
      <x:c r="C5" t="n">
        <x:v>240</x:v>
      </x:c>
      <x:c r="D5" t="n">
        <x:f>C5-B5</x:f>
        <x:v>90</x:v>
      </x:c>
      <x:c r="E5" s="11" t="str">
        <x:v>OU</x:v>
      </x:c>
      <x:c r="F5" s="11" t="str">
        <x:v>Explicar união de possibilidades no caso simples.</x:v>
      </x:c>
      <x:c r="G5" s="11" t="str">
        <x:v>Fazer 1 e 6 virarem um conjunto visual.</x:v>
      </x:c>
      <x:c r="H5" s="11" t="str">
        <x:v>Resultados do dado</x:v>
      </x:c>
      <x:c r="I5" s="11" t="str">
        <x:v>1 e 6 destacados em grupos.</x:v>
      </x:c>
      <x:c r="J5" s="11" t="str">
        <x:v>Dois resultados acendem e se unem em uma faixa.</x:v>
      </x:c>
      <x:c r="K5" s="11" t="str">
        <x:v>OU = reunir possibilidades</x:v>
      </x:c>
      <x:c r="L5" s="11" t="str">
        <x:v>Pulso ao unir.</x:v>
      </x:c>
      <x:c r="M5" s="11" t="str">
        <x:v>Union Highlight</x:v>
      </x:c>
      <x:c r="N5" s="11" t="str">
        <x:v>S03</x:v>
      </x:c>
      <x:c r="O5" s="11" t="str">
        <x:v>READY</x:v>
      </x:c>
      <x:c r="P5" s="11" t="str">
        <x:v>Evitar afirmar regra universal sem contexto.</x:v>
      </x:c>
    </x:row>
    <x:row r="6">
      <x:c r="A6" t="str">
        <x:v>S05</x:v>
      </x:c>
      <x:c r="B6" t="n">
        <x:v>240</x:v>
      </x:c>
      <x:c r="C6" t="n">
        <x:v>335</x:v>
      </x:c>
      <x:c r="D6" t="n">
        <x:f>C6-B6</x:f>
        <x:v>95</x:v>
      </x:c>
      <x:c r="E6" s="11" t="str">
        <x:v>E</x:v>
      </x:c>
      <x:c r="F6" s="11" t="str">
        <x:v>Mostrar por que multiplicamos em sequência.</x:v>
      </x:c>
      <x:c r="G6" s="11" t="str">
        <x:v>Transformar duas moedas em árvore de possibilidades.</x:v>
      </x:c>
      <x:c r="H6" s="11" t="str">
        <x:v>Árvore de duas jogadas de moeda</x:v>
      </x:c>
      <x:c r="I6" s="11" t="str">
        <x:v>Caminho cara→coroa destacado.</x:v>
      </x:c>
      <x:c r="J6" s="11" t="str">
        <x:v>Árvore cresce passo a passo; caminho escolhido fica aceso; vira 1/2×1/2.</x:v>
      </x:c>
      <x:c r="K6" s="11" t="str">
        <x:v>E = siga o caminho</x:v>
      </x:c>
      <x:c r="L6" s="11" t="str">
        <x:v>Som de ramificação.</x:v>
      </x:c>
      <x:c r="M6" s="11" t="str">
        <x:v>Decision Tree</x:v>
      </x:c>
      <x:c r="N6" s="11" t="str">
        <x:v>S04</x:v>
      </x:c>
      <x:c r="O6" s="11" t="str">
        <x:v>READY</x:v>
      </x:c>
      <x:c r="P6" s="11" t="str">
        <x:v>Mostrar quatro caminhos antes da conta.</x:v>
      </x:c>
    </x:row>
    <x:row r="7">
      <x:c r="A7" t="str">
        <x:v>S06</x:v>
      </x:c>
      <x:c r="B7" t="n">
        <x:v>335</x:v>
      </x:c>
      <x:c r="C7" t="n">
        <x:v>410</x:v>
      </x:c>
      <x:c r="D7" t="n">
        <x:f>C7-B7</x:f>
        <x:v>75</x:v>
      </x:c>
      <x:c r="E7" s="11" t="str">
        <x:v>Sem reposição</x:v>
      </x:c>
      <x:c r="F7" s="11" t="str">
        <x:v>Demonstrar mudança do espaço amostral.</x:v>
      </x:c>
      <x:c r="G7" s="11" t="str">
        <x:v>Fazer o denominador mudar fisicamente.</x:v>
      </x:c>
      <x:c r="H7" s="11" t="str">
        <x:v>Urna 3 azuis + 2 vermelhas</x:v>
      </x:c>
      <x:c r="I7" s="11" t="str">
        <x:v>Uma azul sai; urna fica com 4 bolas.</x:v>
      </x:c>
      <x:c r="J7" s="11" t="str">
        <x:v>Bola sai da urna; contador 5→4; azuis 3→2; fração acompanha.</x:v>
      </x:c>
      <x:c r="K7" s="11" t="str">
        <x:v>3/5 → 2/4</x:v>
      </x:c>
      <x:c r="L7" s="11" t="str">
        <x:v>SFX de retirada.</x:v>
      </x:c>
      <x:c r="M7" s="11" t="str">
        <x:v>State Mutation</x:v>
      </x:c>
      <x:c r="N7" s="11" t="str">
        <x:v>S05</x:v>
      </x:c>
      <x:c r="O7" s="11" t="str">
        <x:v>READY</x:v>
      </x:c>
      <x:c r="P7" s="11" t="str">
        <x:v>Cena-chave do vídeo.</x:v>
      </x:c>
    </x:row>
    <x:row r="8">
      <x:c r="A8" t="str">
        <x:v>S07</x:v>
      </x:c>
      <x:c r="B8" t="n">
        <x:v>410</x:v>
      </x:c>
      <x:c r="C8" t="n">
        <x:v>485</x:v>
      </x:c>
      <x:c r="D8" t="n">
        <x:f>C8-B8</x:f>
        <x:v>75</x:v>
      </x:c>
      <x:c r="E8" s="11" t="str">
        <x:v>Complemento</x:v>
      </x:c>
      <x:c r="F8" s="11" t="str">
        <x:v>Ensinar 'pelo menos um' pelo contrário.</x:v>
      </x:c>
      <x:c r="G8" s="11" t="str">
        <x:v>Mostrar complexidade de 3 caminhos e simplificação para 1 caminho.</x:v>
      </x:c>
      <x:c r="H8" s="11" t="str">
        <x:v>Três caminhos com vermelho</x:v>
      </x:c>
      <x:c r="I8" s="11" t="str">
        <x:v>Limpeza de tela; sobra azul→azul.</x:v>
      </x:c>
      <x:c r="J8" s="11" t="str">
        <x:v>Três caminhos aparecem; tela congestionada; tudo some; caminho contrário permanece.</x:v>
      </x:c>
      <x:c r="K8" s="11" t="str">
        <x:v>QUAL O CONTRÁRIO?</x:v>
      </x:c>
      <x:c r="L8" s="11" t="str">
        <x:v>Silêncio curto antes da simplificação.</x:v>
      </x:c>
      <x:c r="M8" s="11" t="str">
        <x:v>Complex → Simple</x:v>
      </x:c>
      <x:c r="N8" s="11" t="str">
        <x:v>S06</x:v>
      </x:c>
      <x:c r="O8" s="11" t="str">
        <x:v>READY</x:v>
      </x:c>
      <x:c r="P8" s="11" t="str">
        <x:v>Usar contraste forte entre complexidade e solução.</x:v>
      </x:c>
    </x:row>
    <x:row r="9">
      <x:c r="A9" t="str">
        <x:v>S08</x:v>
      </x:c>
      <x:c r="B9" t="n">
        <x:v>485</x:v>
      </x:c>
      <x:c r="C9" t="n">
        <x:v>540</x:v>
      </x:c>
      <x:c r="D9" t="n">
        <x:f>C9-B9</x:f>
        <x:v>55</x:v>
      </x:c>
      <x:c r="E9" s="11" t="str">
        <x:v>Questão final</x:v>
      </x:c>
      <x:c r="F9" s="11" t="str">
        <x:v>Aplicar o modelo sem ajuda excessiva.</x:v>
      </x:c>
      <x:c r="G9" s="11" t="str">
        <x:v>Dar ao espectador tempo para resolver visualmente.</x:v>
      </x:c>
      <x:c r="H9" s="11" t="str">
        <x:v>Urna 4 azuis + 3 vermelhas</x:v>
      </x:c>
      <x:c r="I9" s="11" t="str">
        <x:v>Árvore/complemento revelado após pausa.</x:v>
      </x:c>
      <x:c r="J9" s="11" t="str">
        <x:v>Pergunta entra; pausa; depois solução 4/7×3/6 e 1−2/7.</x:v>
      </x:c>
      <x:c r="K9" s="11" t="str">
        <x:v>PELO MENOS UMA VERMELHA?</x:v>
      </x:c>
      <x:c r="L9" s="11" t="str">
        <x:v>Pausa real de 2–3 s.</x:v>
      </x:c>
      <x:c r="M9" s="11" t="str">
        <x:v>Practice Reveal</x:v>
      </x:c>
      <x:c r="N9" s="11" t="str">
        <x:v>S07</x:v>
      </x:c>
      <x:c r="O9" s="11" t="str">
        <x:v>READY</x:v>
      </x:c>
      <x:c r="P9" s="11" t="str">
        <x:v>Não revelar imediatamente.</x:v>
      </x:c>
    </x:row>
    <x:row r="10">
      <x:c r="A10" t="str">
        <x:v>S09</x:v>
      </x:c>
      <x:c r="B10" t="n">
        <x:v>540</x:v>
      </x:c>
      <x:c r="C10" t="n">
        <x:v>560</x:v>
      </x:c>
      <x:c r="D10" t="n">
        <x:f>C10-B10</x:f>
        <x:v>20</x:v>
      </x:c>
      <x:c r="E10" s="11" t="str">
        <x:v>Recap</x:v>
      </x:c>
      <x:c r="F10" s="11" t="str">
        <x:v>Fixar quatro modelos mentais.</x:v>
      </x:c>
      <x:c r="G10" s="11" t="str">
        <x:v>Encerrar com cartões simples e marca do canal.</x:v>
      </x:c>
      <x:c r="H10" s="11" t="str">
        <x:v>4 cartões-resumo</x:v>
      </x:c>
      <x:c r="I10" s="11" t="str">
        <x:v>Espaço amostral; favoráveis; E; complemento.</x:v>
      </x:c>
      <x:c r="J10" s="11" t="str">
        <x:v>Cartões entram um a um; fechamento Entenda Vendo.</x:v>
      </x:c>
      <x:c r="K10" s="11" t="str">
        <x:v>ENTENDA VENDO</x:v>
      </x:c>
      <x:c r="L10" s="11" t="str">
        <x:v>Trilha resolve e termina.</x:v>
      </x:c>
      <x:c r="M10" s="11" t="str">
        <x:v>Four-card Recap</x:v>
      </x:c>
      <x:c r="N10" s="11" t="str">
        <x:v>S08</x:v>
      </x:c>
      <x:c r="O10" s="11" t="str">
        <x:v>READY</x:v>
      </x:c>
      <x:c r="P10" s="11" t="str">
        <x:v>Sem CTA longo.</x:v>
      </x:c>
    </x:row>
  </x:sheetData>
  <x:conditionalFormatting sqref="O2:O10">
    <x:cfRule type="expression" dxfId="0" priority="1">
      <x:formula>O2="DONE"</x:formula>
    </x:cfRule>
    <x:cfRule type="expression" dxfId="1" priority="2">
      <x:formula>O2="BLOCKED"</x:formula>
    </x:cfRule>
    <x:cfRule type="expression" dxfId="2" priority="3">
      <x:formula>O2="IN_PROGRESS"</x:formula>
    </x:cfRule>
  </x:conditionalFormatting>
  <x:dataValidations count="1">
    <x:dataValidation type="list" sqref="O2:O10">
      <x:formula1>"READY,IN_PROGRESS,BLOCKED,DONE"</x:formula1>
    </x:dataValidation>
  </x:dataValidations>
  <x:pageMargins left="0.7" right="0.7" top="0.75" bottom="0.75" header="0.3" footer="0.3"/>
  <x:drawing xmlns:r="http://schemas.openxmlformats.org/officeDocument/2006/relationships" r:id="R4240349edf284021"/>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8" hidden="0" customWidth="1"/>
    <x:col min="3" max="3" width="42" hidden="0" customWidth="1"/>
    <x:col min="4" max="4" width="18" hidden="0" customWidth="1"/>
    <x:col min="5" max="5" width="10" hidden="0" customWidth="1"/>
    <x:col min="6" max="6" width="24" hidden="0" customWidth="1"/>
    <x:col min="7" max="7" width="20" hidden="0" customWidth="1"/>
    <x:col min="8" max="8" width="14" hidden="0" customWidth="1"/>
    <x:col min="9" max="9" width="14" hidden="0" customWidth="1"/>
    <x:col min="10" max="10" width="42" hidden="0" customWidth="1"/>
  </x:cols>
  <x:sheetData>
    <x:row r="1">
      <x:c r="A1" s="25" t="str">
        <x:v>AssetId</x:v>
      </x:c>
      <x:c r="B1" s="25" t="str">
        <x:v>Type</x:v>
      </x:c>
      <x:c r="C1" s="25" t="str">
        <x:v>Description</x:v>
      </x:c>
      <x:c r="D1" s="25" t="str">
        <x:v>UsedInScenes</x:v>
      </x:c>
      <x:c r="E1" s="25" t="str">
        <x:v>Reusable</x:v>
      </x:c>
      <x:c r="F1" s="25" t="str">
        <x:v>CreationMethod</x:v>
      </x:c>
      <x:c r="G1" s="25" t="str">
        <x:v>PreferredFormat</x:v>
      </x:c>
      <x:c r="H1" s="25" t="str">
        <x:v>TransparentBG</x:v>
      </x:c>
      <x:c r="I1" s="25" t="str">
        <x:v>Status</x:v>
      </x:c>
      <x:c r="J1" s="25" t="str">
        <x:v>Notes</x:v>
      </x:c>
    </x:row>
    <x:row r="2">
      <x:c r="A2" t="str">
        <x:v>A001</x:v>
      </x:c>
      <x:c r="B2" t="str">
        <x:v>VECTOR</x:v>
      </x:c>
      <x:c r="C2" s="11" t="str">
        <x:v>Urna frontal neutra</x:v>
      </x:c>
      <x:c r="D2" s="11" t="str">
        <x:v>S01,S02,S06,S08</x:v>
      </x:c>
      <x:c r="E2" s="28" t="b">
        <x:v>1</x:v>
      </x:c>
      <x:c r="F2" s="11" t="str">
        <x:v>Vector/Illustration</x:v>
      </x:c>
      <x:c r="G2" s="11" t="str">
        <x:v>SVG/PNG</x:v>
      </x:c>
      <x:c r="H2" s="28" t="b">
        <x:v>1</x:v>
      </x:c>
      <x:c r="I2" s="11" t="str">
        <x:v>PLANNED</x:v>
      </x:c>
      <x:c r="J2" s="11" t="str">
        <x:v>Forma simples; leitura imediata.</x:v>
      </x:c>
    </x:row>
    <x:row r="3">
      <x:c r="A3" t="str">
        <x:v>A002</x:v>
      </x:c>
      <x:c r="B3" t="str">
        <x:v>VECTOR</x:v>
      </x:c>
      <x:c r="C3" s="11" t="str">
        <x:v>Bola azul</x:v>
      </x:c>
      <x:c r="D3" s="11" t="str">
        <x:v>S01,S02,S06,S08</x:v>
      </x:c>
      <x:c r="E3" s="28" t="b">
        <x:v>1</x:v>
      </x:c>
      <x:c r="F3" s="11" t="str">
        <x:v>Vector</x:v>
      </x:c>
      <x:c r="G3" s="11" t="str">
        <x:v>SVG/PNG</x:v>
      </x:c>
      <x:c r="H3" s="28" t="b">
        <x:v>1</x:v>
      </x:c>
      <x:c r="I3" s="11" t="str">
        <x:v>PLANNED</x:v>
      </x:c>
      <x:c r="J3" s="11" t="str">
        <x:v>Mesma escala da vermelha.</x:v>
      </x:c>
    </x:row>
    <x:row r="4">
      <x:c r="A4" t="str">
        <x:v>A003</x:v>
      </x:c>
      <x:c r="B4" t="str">
        <x:v>VECTOR</x:v>
      </x:c>
      <x:c r="C4" s="11" t="str">
        <x:v>Bola vermelha</x:v>
      </x:c>
      <x:c r="D4" s="11" t="str">
        <x:v>S01,S02,S06,S08</x:v>
      </x:c>
      <x:c r="E4" s="28" t="b">
        <x:v>1</x:v>
      </x:c>
      <x:c r="F4" s="11" t="str">
        <x:v>Vector</x:v>
      </x:c>
      <x:c r="G4" s="11" t="str">
        <x:v>SVG/PNG</x:v>
      </x:c>
      <x:c r="H4" s="28" t="b">
        <x:v>1</x:v>
      </x:c>
      <x:c r="I4" s="11" t="str">
        <x:v>PLANNED</x:v>
      </x:c>
      <x:c r="J4" s="11" t="str"/>
    </x:row>
    <x:row r="5">
      <x:c r="A5" t="str">
        <x:v>A004</x:v>
      </x:c>
      <x:c r="B5" t="str">
        <x:v>VECTOR</x:v>
      </x:c>
      <x:c r="C5" s="11" t="str">
        <x:v>Dado 3D simples</x:v>
      </x:c>
      <x:c r="D5" s="11" t="str">
        <x:v>S03,S04</x:v>
      </x:c>
      <x:c r="E5" s="28" t="b">
        <x:v>1</x:v>
      </x:c>
      <x:c r="F5" s="11" t="str">
        <x:v>Vector/3D-lite</x:v>
      </x:c>
      <x:c r="G5" s="11" t="str">
        <x:v>SVG/PNG</x:v>
      </x:c>
      <x:c r="H5" s="28" t="b">
        <x:v>1</x:v>
      </x:c>
      <x:c r="I5" s="11" t="str">
        <x:v>PLANNED</x:v>
      </x:c>
      <x:c r="J5" s="11" t="str">
        <x:v>Sem realismo excessivo.</x:v>
      </x:c>
    </x:row>
    <x:row r="6">
      <x:c r="A6" t="str">
        <x:v>A005</x:v>
      </x:c>
      <x:c r="B6" t="str">
        <x:v>ICON</x:v>
      </x:c>
      <x:c r="C6" s="11" t="str">
        <x:v>Face cara da moeda</x:v>
      </x:c>
      <x:c r="D6" s="11" t="str">
        <x:v>S05</x:v>
      </x:c>
      <x:c r="E6" s="28" t="b">
        <x:v>1</x:v>
      </x:c>
      <x:c r="F6" s="11" t="str">
        <x:v>Vector</x:v>
      </x:c>
      <x:c r="G6" s="11" t="str">
        <x:v>SVG/PNG</x:v>
      </x:c>
      <x:c r="H6" s="28" t="b">
        <x:v>1</x:v>
      </x:c>
      <x:c r="I6" s="11" t="str">
        <x:v>PLANNED</x:v>
      </x:c>
      <x:c r="J6" s="11" t="str"/>
    </x:row>
    <x:row r="7">
      <x:c r="A7" t="str">
        <x:v>A006</x:v>
      </x:c>
      <x:c r="B7" t="str">
        <x:v>ICON</x:v>
      </x:c>
      <x:c r="C7" s="11" t="str">
        <x:v>Face coroa da moeda</x:v>
      </x:c>
      <x:c r="D7" s="11" t="str">
        <x:v>S05</x:v>
      </x:c>
      <x:c r="E7" s="28" t="b">
        <x:v>1</x:v>
      </x:c>
      <x:c r="F7" s="11" t="str">
        <x:v>Vector</x:v>
      </x:c>
      <x:c r="G7" s="11" t="str">
        <x:v>SVG/PNG</x:v>
      </x:c>
      <x:c r="H7" s="28" t="b">
        <x:v>1</x:v>
      </x:c>
      <x:c r="I7" s="11" t="str">
        <x:v>PLANNED</x:v>
      </x:c>
      <x:c r="J7" s="11" t="str"/>
    </x:row>
    <x:row r="8">
      <x:c r="A8" t="str">
        <x:v>A007</x:v>
      </x:c>
      <x:c r="B8" t="str">
        <x:v>MOTION_PATTERN</x:v>
      </x:c>
      <x:c r="C8" s="11" t="str">
        <x:v>Árvore de possibilidades</x:v>
      </x:c>
      <x:c r="D8" s="11" t="str">
        <x:v>S05,S08</x:v>
      </x:c>
      <x:c r="E8" s="28" t="b">
        <x:v>1</x:v>
      </x:c>
      <x:c r="F8" s="11" t="str">
        <x:v>Native shapes</x:v>
      </x:c>
      <x:c r="G8" s="11" t="str">
        <x:v>Project native</x:v>
      </x:c>
      <x:c r="H8" s="28" t="b">
        <x:v>0</x:v>
      </x:c>
      <x:c r="I8" s="11" t="str">
        <x:v>PLANNED</x:v>
      </x:c>
      <x:c r="J8" s="11" t="str">
        <x:v>Criar como componente reutilizável.</x:v>
      </x:c>
    </x:row>
    <x:row r="9">
      <x:c r="A9" t="str">
        <x:v>A008</x:v>
      </x:c>
      <x:c r="B9" t="str">
        <x:v>MOTION_PATTERN</x:v>
      </x:c>
      <x:c r="C9" s="11" t="str">
        <x:v>Linha de fração animável</x:v>
      </x:c>
      <x:c r="D9" s="11" t="str">
        <x:v>S02,S03,S05,S06,S08</x:v>
      </x:c>
      <x:c r="E9" s="28" t="b">
        <x:v>1</x:v>
      </x:c>
      <x:c r="F9" s="11" t="str">
        <x:v>Native text/shapes</x:v>
      </x:c>
      <x:c r="G9" s="11" t="str">
        <x:v>Project native</x:v>
      </x:c>
      <x:c r="H9" s="28" t="b">
        <x:v>0</x:v>
      </x:c>
      <x:c r="I9" s="11" t="str">
        <x:v>PLANNED</x:v>
      </x:c>
      <x:c r="J9" s="11" t="str">
        <x:v>Numerador e denominador independentes.</x:v>
      </x:c>
    </x:row>
    <x:row r="10">
      <x:c r="A10" t="str">
        <x:v>A009</x:v>
      </x:c>
      <x:c r="B10" t="str">
        <x:v>MOTION_PATTERN</x:v>
      </x:c>
      <x:c r="C10" s="11" t="str">
        <x:v>Cartão de conceito</x:v>
      </x:c>
      <x:c r="D10" s="11" t="str">
        <x:v>S09</x:v>
      </x:c>
      <x:c r="E10" s="28" t="b">
        <x:v>1</x:v>
      </x:c>
      <x:c r="F10" s="11" t="str">
        <x:v>Native shapes</x:v>
      </x:c>
      <x:c r="G10" s="11" t="str">
        <x:v>Project native</x:v>
      </x:c>
      <x:c r="H10" s="28" t="b">
        <x:v>0</x:v>
      </x:c>
      <x:c r="I10" s="11" t="str">
        <x:v>PLANNED</x:v>
      </x:c>
      <x:c r="J10" s="11" t="str">
        <x:v>Modelo para outros vídeos.</x:v>
      </x:c>
    </x:row>
    <x:row r="11">
      <x:c r="A11" t="str">
        <x:v>A010</x:v>
      </x:c>
      <x:c r="B11" t="str">
        <x:v>MOTION_PATTERN</x:v>
      </x:c>
      <x:c r="C11" s="11" t="str">
        <x:v>Highlight de subconjunto</x:v>
      </x:c>
      <x:c r="D11" s="11" t="str">
        <x:v>S03,S04</x:v>
      </x:c>
      <x:c r="E11" s="28" t="b">
        <x:v>1</x:v>
      </x:c>
      <x:c r="F11" s="11" t="str">
        <x:v>Native shapes</x:v>
      </x:c>
      <x:c r="G11" s="11" t="str">
        <x:v>Project native</x:v>
      </x:c>
      <x:c r="H11" s="28" t="b">
        <x:v>0</x:v>
      </x:c>
      <x:c r="I11" s="11" t="str">
        <x:v>PLANNED</x:v>
      </x:c>
      <x:c r="J11" s="11" t="str">
        <x:v>Halo/contorno simples.</x:v>
      </x:c>
    </x:row>
    <x:row r="12">
      <x:c r="A12" t="str">
        <x:v>A011</x:v>
      </x:c>
      <x:c r="B12" t="str">
        <x:v>TEXT</x:v>
      </x:c>
      <x:c r="C12" s="11" t="str">
        <x:v>QUAL A CHANCE?</x:v>
      </x:c>
      <x:c r="D12" s="11" t="str">
        <x:v>S01</x:v>
      </x:c>
      <x:c r="E12" s="28" t="b">
        <x:v>0</x:v>
      </x:c>
      <x:c r="F12" s="11" t="str">
        <x:v>Native text</x:v>
      </x:c>
      <x:c r="G12" s="11" t="str">
        <x:v>Project native</x:v>
      </x:c>
      <x:c r="H12" s="28" t="b">
        <x:v>0</x:v>
      </x:c>
      <x:c r="I12" s="11" t="str">
        <x:v>PLANNED</x:v>
      </x:c>
      <x:c r="J12" s="11" t="str"/>
    </x:row>
    <x:row r="13">
      <x:c r="A13" t="str">
        <x:v>A012</x:v>
      </x:c>
      <x:c r="B13" t="str">
        <x:v>TEXT</x:v>
      </x:c>
      <x:c r="C13" s="11" t="str">
        <x:v>3 favoráveis / 5 possíveis</x:v>
      </x:c>
      <x:c r="D13" s="11" t="str">
        <x:v>S02</x:v>
      </x:c>
      <x:c r="E13" s="28" t="b">
        <x:v>0</x:v>
      </x:c>
      <x:c r="F13" s="11" t="str">
        <x:v>Native text</x:v>
      </x:c>
      <x:c r="G13" s="11" t="str">
        <x:v>Project native</x:v>
      </x:c>
      <x:c r="H13" s="28" t="b">
        <x:v>0</x:v>
      </x:c>
      <x:c r="I13" s="11" t="str">
        <x:v>PLANNED</x:v>
      </x:c>
      <x:c r="J13" s="11" t="str"/>
    </x:row>
    <x:row r="14">
      <x:c r="A14" t="str">
        <x:v>A013</x:v>
      </x:c>
      <x:c r="B14" t="str">
        <x:v>TEXT</x:v>
      </x:c>
      <x:c r="C14" s="11" t="str">
        <x:v>ESPAÇO AMOSTRAL</x:v>
      </x:c>
      <x:c r="D14" s="11" t="str">
        <x:v>S03</x:v>
      </x:c>
      <x:c r="E14" s="28" t="b">
        <x:v>1</x:v>
      </x:c>
      <x:c r="F14" s="11" t="str">
        <x:v>Native text</x:v>
      </x:c>
      <x:c r="G14" s="11" t="str">
        <x:v>Project native</x:v>
      </x:c>
      <x:c r="H14" s="28" t="b">
        <x:v>0</x:v>
      </x:c>
      <x:c r="I14" s="11" t="str">
        <x:v>PLANNED</x:v>
      </x:c>
      <x:c r="J14" s="11" t="str"/>
    </x:row>
    <x:row r="15">
      <x:c r="A15" t="str">
        <x:v>A014</x:v>
      </x:c>
      <x:c r="B15" t="str">
        <x:v>TEXT</x:v>
      </x:c>
      <x:c r="C15" s="11" t="str">
        <x:v>OU = reunir possibilidades</x:v>
      </x:c>
      <x:c r="D15" s="11" t="str">
        <x:v>S04</x:v>
      </x:c>
      <x:c r="E15" s="28" t="b">
        <x:v>1</x:v>
      </x:c>
      <x:c r="F15" s="11" t="str">
        <x:v>Native text</x:v>
      </x:c>
      <x:c r="G15" s="11" t="str">
        <x:v>Project native</x:v>
      </x:c>
      <x:c r="H15" s="28" t="b">
        <x:v>0</x:v>
      </x:c>
      <x:c r="I15" s="11" t="str">
        <x:v>PLANNED</x:v>
      </x:c>
      <x:c r="J15" s="11" t="str"/>
    </x:row>
    <x:row r="16">
      <x:c r="A16" t="str">
        <x:v>A015</x:v>
      </x:c>
      <x:c r="B16" t="str">
        <x:v>TEXT</x:v>
      </x:c>
      <x:c r="C16" s="11" t="str">
        <x:v>E = siga o caminho</x:v>
      </x:c>
      <x:c r="D16" s="11" t="str">
        <x:v>S05</x:v>
      </x:c>
      <x:c r="E16" s="28" t="b">
        <x:v>1</x:v>
      </x:c>
      <x:c r="F16" s="11" t="str">
        <x:v>Native text</x:v>
      </x:c>
      <x:c r="G16" s="11" t="str">
        <x:v>Project native</x:v>
      </x:c>
      <x:c r="H16" s="28" t="b">
        <x:v>0</x:v>
      </x:c>
      <x:c r="I16" s="11" t="str">
        <x:v>PLANNED</x:v>
      </x:c>
      <x:c r="J16" s="11" t="str"/>
    </x:row>
    <x:row r="17">
      <x:c r="A17" t="str">
        <x:v>A016</x:v>
      </x:c>
      <x:c r="B17" t="str">
        <x:v>TEXT</x:v>
      </x:c>
      <x:c r="C17" s="11" t="str">
        <x:v>3/5 → 2/4</x:v>
      </x:c>
      <x:c r="D17" s="11" t="str">
        <x:v>S06</x:v>
      </x:c>
      <x:c r="E17" s="28" t="b">
        <x:v>0</x:v>
      </x:c>
      <x:c r="F17" s="11" t="str">
        <x:v>Native text</x:v>
      </x:c>
      <x:c r="G17" s="11" t="str">
        <x:v>Project native</x:v>
      </x:c>
      <x:c r="H17" s="28" t="b">
        <x:v>0</x:v>
      </x:c>
      <x:c r="I17" s="11" t="str">
        <x:v>PLANNED</x:v>
      </x:c>
      <x:c r="J17" s="11" t="str"/>
    </x:row>
    <x:row r="18">
      <x:c r="A18" t="str">
        <x:v>A017</x:v>
      </x:c>
      <x:c r="B18" t="str">
        <x:v>TEXT</x:v>
      </x:c>
      <x:c r="C18" s="11" t="str">
        <x:v>QUAL O CONTRÁRIO?</x:v>
      </x:c>
      <x:c r="D18" s="11" t="str">
        <x:v>S07</x:v>
      </x:c>
      <x:c r="E18" s="28" t="b">
        <x:v>1</x:v>
      </x:c>
      <x:c r="F18" s="11" t="str">
        <x:v>Native text</x:v>
      </x:c>
      <x:c r="G18" s="11" t="str">
        <x:v>Project native</x:v>
      </x:c>
      <x:c r="H18" s="28" t="b">
        <x:v>0</x:v>
      </x:c>
      <x:c r="I18" s="11" t="str">
        <x:v>PLANNED</x:v>
      </x:c>
      <x:c r="J18" s="11" t="str"/>
    </x:row>
    <x:row r="19">
      <x:c r="A19" t="str">
        <x:v>A018</x:v>
      </x:c>
      <x:c r="B19" t="str">
        <x:v>TEXT</x:v>
      </x:c>
      <x:c r="C19" s="11" t="str">
        <x:v>PELO MENOS UMA VERMELHA?</x:v>
      </x:c>
      <x:c r="D19" s="11" t="str">
        <x:v>S08</x:v>
      </x:c>
      <x:c r="E19" s="28" t="b">
        <x:v>0</x:v>
      </x:c>
      <x:c r="F19" s="11" t="str">
        <x:v>Native text</x:v>
      </x:c>
      <x:c r="G19" s="11" t="str">
        <x:v>Project native</x:v>
      </x:c>
      <x:c r="H19" s="28" t="b">
        <x:v>0</x:v>
      </x:c>
      <x:c r="I19" s="11" t="str">
        <x:v>PLANNED</x:v>
      </x:c>
      <x:c r="J19" s="11" t="str"/>
    </x:row>
    <x:row r="20">
      <x:c r="A20" t="str">
        <x:v>A019</x:v>
      </x:c>
      <x:c r="B20" t="str">
        <x:v>TEXT</x:v>
      </x:c>
      <x:c r="C20" s="11" t="str">
        <x:v>ENTENDA VENDO</x:v>
      </x:c>
      <x:c r="D20" s="11" t="str">
        <x:v>S09</x:v>
      </x:c>
      <x:c r="E20" s="28" t="b">
        <x:v>1</x:v>
      </x:c>
      <x:c r="F20" s="11" t="str">
        <x:v>Native text</x:v>
      </x:c>
      <x:c r="G20" s="11" t="str">
        <x:v>Project native</x:v>
      </x:c>
      <x:c r="H20" s="28" t="b">
        <x:v>0</x:v>
      </x:c>
      <x:c r="I20" s="11" t="str">
        <x:v>PLANNED</x:v>
      </x:c>
      <x:c r="J20" s="11" t="str">
        <x:v>Marca provisória.</x:v>
      </x:c>
    </x:row>
    <x:row r="21">
      <x:c r="A21" t="str">
        <x:v>A020</x:v>
      </x:c>
      <x:c r="B21" t="str">
        <x:v>SFX</x:v>
      </x:c>
      <x:c r="C21" s="11" t="str">
        <x:v>Entrada de objeto leve</x:v>
      </x:c>
      <x:c r="D21" s="11" t="str">
        <x:v>S01,S02</x:v>
      </x:c>
      <x:c r="E21" s="28" t="b">
        <x:v>1</x:v>
      </x:c>
      <x:c r="F21" s="11" t="str">
        <x:v>Library</x:v>
      </x:c>
      <x:c r="G21" s="11" t="str">
        <x:v>WAV</x:v>
      </x:c>
      <x:c r="H21" s="28" t="b">
        <x:v>0</x:v>
      </x:c>
      <x:c r="I21" s="11" t="str">
        <x:v>PLANNED</x:v>
      </x:c>
      <x:c r="J21" s="11" t="str">
        <x:v>Não cartunesco.</x:v>
      </x:c>
    </x:row>
    <x:row r="22">
      <x:c r="A22" t="str">
        <x:v>A021</x:v>
      </x:c>
      <x:c r="B22" t="str">
        <x:v>SFX</x:v>
      </x:c>
      <x:c r="C22" s="11" t="str">
        <x:v>Click de destaque</x:v>
      </x:c>
      <x:c r="D22" s="11" t="str">
        <x:v>S02,S03,S04</x:v>
      </x:c>
      <x:c r="E22" s="28" t="b">
        <x:v>1</x:v>
      </x:c>
      <x:c r="F22" s="11" t="str">
        <x:v>Library</x:v>
      </x:c>
      <x:c r="G22" s="11" t="str">
        <x:v>WAV</x:v>
      </x:c>
      <x:c r="H22" s="28" t="b">
        <x:v>0</x:v>
      </x:c>
      <x:c r="I22" s="11" t="str">
        <x:v>PLANNED</x:v>
      </x:c>
      <x:c r="J22" s="11" t="str"/>
    </x:row>
    <x:row r="23">
      <x:c r="A23" t="str">
        <x:v>A022</x:v>
      </x:c>
      <x:c r="B23" t="str">
        <x:v>SFX</x:v>
      </x:c>
      <x:c r="C23" s="11" t="str">
        <x:v>Ramificação suave</x:v>
      </x:c>
      <x:c r="D23" s="11" t="str">
        <x:v>S05</x:v>
      </x:c>
      <x:c r="E23" s="28" t="b">
        <x:v>1</x:v>
      </x:c>
      <x:c r="F23" s="11" t="str">
        <x:v>Library</x:v>
      </x:c>
      <x:c r="G23" s="11" t="str">
        <x:v>WAV</x:v>
      </x:c>
      <x:c r="H23" s="28" t="b">
        <x:v>0</x:v>
      </x:c>
      <x:c r="I23" s="11" t="str">
        <x:v>PLANNED</x:v>
      </x:c>
      <x:c r="J23" s="11" t="str"/>
    </x:row>
    <x:row r="24">
      <x:c r="A24" t="str">
        <x:v>A023</x:v>
      </x:c>
      <x:c r="B24" t="str">
        <x:v>SFX</x:v>
      </x:c>
      <x:c r="C24" s="11" t="str">
        <x:v>Retirada de bola</x:v>
      </x:c>
      <x:c r="D24" s="11" t="str">
        <x:v>S06</x:v>
      </x:c>
      <x:c r="E24" s="28" t="b">
        <x:v>1</x:v>
      </x:c>
      <x:c r="F24" s="11" t="str">
        <x:v>Library</x:v>
      </x:c>
      <x:c r="G24" s="11" t="str">
        <x:v>WAV</x:v>
      </x:c>
      <x:c r="H24" s="28" t="b">
        <x:v>0</x:v>
      </x:c>
      <x:c r="I24" s="11" t="str">
        <x:v>PLANNED</x:v>
      </x:c>
      <x:c r="J24" s="11" t="str"/>
    </x:row>
    <x:row r="25">
      <x:c r="A25" t="str">
        <x:v>A024</x:v>
      </x:c>
      <x:c r="B25" t="str">
        <x:v>SFX</x:v>
      </x:c>
      <x:c r="C25" s="11" t="str">
        <x:v>Reveal/resolve</x:v>
      </x:c>
      <x:c r="D25" s="11" t="str">
        <x:v>S07,S08</x:v>
      </x:c>
      <x:c r="E25" s="28" t="b">
        <x:v>1</x:v>
      </x:c>
      <x:c r="F25" s="11" t="str">
        <x:v>Library</x:v>
      </x:c>
      <x:c r="G25" s="11" t="str">
        <x:v>WAV</x:v>
      </x:c>
      <x:c r="H25" s="28" t="b">
        <x:v>0</x:v>
      </x:c>
      <x:c r="I25" s="11" t="str">
        <x:v>PLANNED</x:v>
      </x:c>
      <x:c r="J25" s="11" t="str"/>
    </x:row>
    <x:row r="26">
      <x:c r="A26" t="str">
        <x:v>A025</x:v>
      </x:c>
      <x:c r="B26" t="str">
        <x:v>MUSIC</x:v>
      </x:c>
      <x:c r="C26" s="11" t="str">
        <x:v>Trilha discreta de fundo</x:v>
      </x:c>
      <x:c r="D26" s="11" t="str">
        <x:v>S01-S09</x:v>
      </x:c>
      <x:c r="E26" s="28" t="b">
        <x:v>1</x:v>
      </x:c>
      <x:c r="F26" s="11" t="str">
        <x:v>Licensed/AI</x:v>
      </x:c>
      <x:c r="G26" s="11" t="str">
        <x:v>WAV</x:v>
      </x:c>
      <x:c r="H26" s="28" t="b">
        <x:v>0</x:v>
      </x:c>
      <x:c r="I26" s="11" t="str">
        <x:v>PLANNED</x:v>
      </x:c>
      <x:c r="J26" s="11" t="str">
        <x:v>Baixa densidade harmônica.</x:v>
      </x:c>
    </x:row>
    <x:row r="27">
      <x:c r="A27" t="str">
        <x:v>A026</x:v>
      </x:c>
      <x:c r="B27" t="str">
        <x:v>THUMBNAIL</x:v>
      </x:c>
      <x:c r="C27" s="11" t="str">
        <x:v>Urna + árvore</x:v>
      </x:c>
      <x:c r="D27" s="11" t="str">
        <x:v>Thumbnail</x:v>
      </x:c>
      <x:c r="E27" s="28" t="b">
        <x:v>0</x:v>
      </x:c>
      <x:c r="F27" s="11" t="str">
        <x:v>Compose existing assets</x:v>
      </x:c>
      <x:c r="G27" s="11" t="str">
        <x:v>PNG</x:v>
      </x:c>
      <x:c r="H27" s="28" t="b">
        <x:v>0</x:v>
      </x:c>
      <x:c r="I27" s="11" t="str">
        <x:v>PLANNED</x:v>
      </x:c>
      <x:c r="J27" s="11" t="str">
        <x:v>Versão A.</x:v>
      </x:c>
    </x:row>
    <x:row r="28">
      <x:c r="A28" t="str">
        <x:v>A027</x:v>
      </x:c>
      <x:c r="B28" t="str">
        <x:v>THUMBNAIL</x:v>
      </x:c>
      <x:c r="C28" s="11" t="str">
        <x:v>Antes/depois fórmula</x:v>
      </x:c>
      <x:c r="D28" s="11" t="str">
        <x:v>Thumbnail</x:v>
      </x:c>
      <x:c r="E28" s="28" t="b">
        <x:v>0</x:v>
      </x:c>
      <x:c r="F28" s="11" t="str">
        <x:v>Compose existing assets</x:v>
      </x:c>
      <x:c r="G28" s="11" t="str">
        <x:v>PNG</x:v>
      </x:c>
      <x:c r="H28" s="28" t="b">
        <x:v>0</x:v>
      </x:c>
      <x:c r="I28" s="11" t="str">
        <x:v>PLANNED</x:v>
      </x:c>
      <x:c r="J28" s="11" t="str">
        <x:v>Versão B.</x:v>
      </x:c>
    </x:row>
    <x:row r="29">
      <x:c r="A29" t="str">
        <x:v>A028</x:v>
      </x:c>
      <x:c r="B29" t="str">
        <x:v>THUMBNAIL</x:v>
      </x:c>
      <x:c r="C29" s="11" t="str">
        <x:v>Bolas + texto VEJA. NÃO DECORE.</x:v>
      </x:c>
      <x:c r="D29" s="11" t="str">
        <x:v>Thumbnail</x:v>
      </x:c>
      <x:c r="E29" s="28" t="b">
        <x:v>0</x:v>
      </x:c>
      <x:c r="F29" s="11" t="str">
        <x:v>Compose existing assets</x:v>
      </x:c>
      <x:c r="G29" s="11" t="str">
        <x:v>PNG</x:v>
      </x:c>
      <x:c r="H29" s="28" t="b">
        <x:v>0</x:v>
      </x:c>
      <x:c r="I29" s="11" t="str">
        <x:v>PLANNED</x:v>
      </x:c>
      <x:c r="J29" s="11" t="str">
        <x:v>Versão C.</x:v>
      </x:c>
    </x:row>
    <x:row r="30">
      <x:c r="A30" t="str">
        <x:v>A029</x:v>
      </x:c>
      <x:c r="B30" t="str">
        <x:v>CHARACTER</x:v>
      </x:c>
      <x:c r="C30" t="str">
        <x:v>C01 personagem principal — base</x:v>
      </x:c>
      <x:c r="D30" t="str">
        <x:v>S01,S02,S03,S05,S06,S07,S08</x:v>
      </x:c>
      <x:c r="E30" s="22" t="b">
        <x:v>1</x:v>
      </x:c>
      <x:c r="F30" t="str">
        <x:v>Illustration/character kit</x:v>
      </x:c>
      <x:c r="G30" t="str">
        <x:v>PNG/SVG</x:v>
      </x:c>
      <x:c r="H30" s="22" t="b">
        <x:v>1</x:v>
      </x:c>
      <x:c r="I30" t="str">
        <x:v>PLANNED</x:v>
      </x:c>
      <x:c r="J30" t="str">
        <x:v>Adulto editorial; agente da situação.</x:v>
      </x:c>
    </x:row>
    <x:row r="31">
      <x:c r="A31" t="str">
        <x:v>A030</x:v>
      </x:c>
      <x:c r="B31" t="str">
        <x:v>CHARACTER</x:v>
      </x:c>
      <x:c r="C31" t="str">
        <x:v>C01 pose sheet</x:v>
      </x:c>
      <x:c r="D31" t="str">
        <x:v>S01,S02,S03,S05,S06,S07,S08</x:v>
      </x:c>
      <x:c r="E31" s="22" t="b">
        <x:v>1</x:v>
      </x:c>
      <x:c r="F31" t="str">
        <x:v>Illustration/character kit</x:v>
      </x:c>
      <x:c r="G31" t="str">
        <x:v>PNG/SVG</x:v>
      </x:c>
      <x:c r="H31" s="22" t="b">
        <x:v>1</x:v>
      </x:c>
      <x:c r="I31" t="str">
        <x:v>PLANNED</x:v>
      </x:c>
      <x:c r="J31" t="str">
        <x:v>8 poses reutilizáveis.</x:v>
      </x:c>
    </x:row>
    <x:row r="32">
      <x:c r="A32" t="str">
        <x:v>A031</x:v>
      </x:c>
      <x:c r="B32" t="str">
        <x:v>CHARACTER</x:v>
      </x:c>
      <x:c r="C32" t="str">
        <x:v>C02 contraponto</x:v>
      </x:c>
      <x:c r="D32" t="str">
        <x:v>Future</x:v>
      </x:c>
      <x:c r="E32" s="22" t="b">
        <x:v>1</x:v>
      </x:c>
      <x:c r="F32" t="str">
        <x:v>Illustration/character kit</x:v>
      </x:c>
      <x:c r="G32" t="str">
        <x:v>PNG/SVG</x:v>
      </x:c>
      <x:c r="H32" s="22" t="b">
        <x:v>1</x:v>
      </x:c>
      <x:c r="I32" t="str">
        <x:v>PLANNED</x:v>
      </x:c>
      <x:c r="J32" t="str">
        <x:v>Não obrigatório no piloto se complicar produção.</x:v>
      </x:c>
    </x:row>
    <x:row r="33">
      <x:c r="A33" t="str">
        <x:v>A032</x:v>
      </x:c>
      <x:c r="B33" t="str">
        <x:v>STYLEFRAME</x:v>
      </x:c>
      <x:c r="C33" t="str">
        <x:v>Styleframe A2 — Probabilidade</x:v>
      </x:c>
      <x:c r="D33" t="str">
        <x:v>MVP</x:v>
      </x:c>
      <x:c r="E33" s="22" t="b">
        <x:v>1</x:v>
      </x:c>
      <x:c r="F33" t="str">
        <x:v>Composite</x:v>
      </x:c>
      <x:c r="G33" t="str">
        <x:v>PNG</x:v>
      </x:c>
      <x:c r="H33" s="22" t="b">
        <x:v>0</x:v>
      </x:c>
      <x:c r="I33" t="str">
        <x:v>PLANNED</x:v>
      </x:c>
      <x:c r="J33" t="str">
        <x:v>Valida personagem + semi-flat + motion flat.</x:v>
      </x:c>
    </x:row>
    <x:row r="34">
      <x:c r="A34" t="str">
        <x:v>A033</x:v>
      </x:c>
      <x:c r="B34" t="str">
        <x:v>THUMBNAIL</x:v>
      </x:c>
      <x:c r="C34" t="str">
        <x:v>Storytelling: personagem + 3/5→2/4</x:v>
      </x:c>
      <x:c r="D34" t="str">
        <x:v>Thumbnail</x:v>
      </x:c>
      <x:c r="E34" s="22" t="b">
        <x:v>0</x:v>
      </x:c>
      <x:c r="F34" t="str">
        <x:v>Composite</x:v>
      </x:c>
      <x:c r="G34" t="str">
        <x:v>PNG</x:v>
      </x:c>
      <x:c r="H34" s="22" t="b">
        <x:v>0</x:v>
      </x:c>
      <x:c r="I34" t="str">
        <x:v>PLANNED</x:v>
      </x:c>
      <x:c r="J34" t="str">
        <x:v>Texto: POR QUE MUDOU?</x:v>
      </x:c>
    </x:row>
  </x:sheetData>
  <x:conditionalFormatting sqref="I2:I29">
    <x:cfRule type="expression" dxfId="3" priority="1">
      <x:formula>I2="DONE"</x:formula>
    </x:cfRule>
    <x:cfRule type="expression" dxfId="4" priority="2">
      <x:formula>I2="REWORK"</x:formula>
    </x:cfRule>
  </x:conditionalFormatting>
  <x:dataValidations count="1">
    <x:dataValidation type="list" sqref="I2:I29">
      <x:formula1>"PLANNED,GENERATING,READY,REWORK,DONE"</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9" hidden="0" customWidth="1"/>
    <x:col min="3" max="3" width="8" hidden="0" customWidth="1"/>
    <x:col min="4" max="4" width="66" hidden="0" customWidth="1"/>
    <x:col min="5" max="5" width="26" hidden="0" customWidth="1"/>
    <x:col min="6" max="6" width="14" hidden="0" customWidth="1"/>
    <x:col min="7" max="7" width="12" hidden="0" customWidth="1"/>
    <x:col min="8" max="8" width="38" hidden="0" customWidth="1"/>
  </x:cols>
  <x:sheetData>
    <x:row r="1">
      <x:c r="A1" s="31" t="str">
        <x:v>VOId</x:v>
      </x:c>
      <x:c r="B1" s="31" t="str">
        <x:v>SceneId</x:v>
      </x:c>
      <x:c r="C1" s="31" t="str">
        <x:v>Order</x:v>
      </x:c>
      <x:c r="D1" s="31" t="str">
        <x:v>TextPurpose</x:v>
      </x:c>
      <x:c r="E1" s="31" t="str">
        <x:v>Delivery</x:v>
      </x:c>
      <x:c r="F1" s="31" t="str">
        <x:v>PauseAfterSec</x:v>
      </x:c>
      <x:c r="G1" s="31" t="str">
        <x:v>Status</x:v>
      </x:c>
      <x:c r="H1" s="31" t="str">
        <x:v>Notes</x:v>
      </x:c>
    </x:row>
    <x:row r="2">
      <x:c r="A2" t="str">
        <x:v>VO01</x:v>
      </x:c>
      <x:c r="B2" t="str">
        <x:v>S01</x:v>
      </x:c>
      <x:c r="C2" t="n">
        <x:v>1</x:v>
      </x:c>
      <x:c r="D2" s="11" t="str">
        <x:v>Imagine uma urna com cinco bolas... qual é a chance de sair azul?</x:v>
      </x:c>
      <x:c r="E2" s="11" t="str">
        <x:v>Curioso, direto</x:v>
      </x:c>
      <x:c r="F2" s="11" t="n">
        <x:v>0.8</x:v>
      </x:c>
      <x:c r="G2" s="11" t="str">
        <x:v>READY</x:v>
      </x:c>
      <x:c r="H2" s="11" t="str">
        <x:v>Hook.</x:v>
      </x:c>
    </x:row>
    <x:row r="3">
      <x:c r="A3" t="str">
        <x:v>VO02</x:v>
      </x:c>
      <x:c r="B3" t="str">
        <x:v>S02</x:v>
      </x:c>
      <x:c r="C3" t="n">
        <x:v>2</x:v>
      </x:c>
      <x:c r="D3" s="11" t="str">
        <x:v>A parte importante não é a fração; é entender de onde ela apareceu.</x:v>
      </x:c>
      <x:c r="E3" s="11" t="str">
        <x:v>Calmo, enfatizar 'de onde'</x:v>
      </x:c>
      <x:c r="F3" s="11" t="n">
        <x:v>0.6</x:v>
      </x:c>
      <x:c r="G3" s="11" t="str">
        <x:v>READY</x:v>
      </x:c>
      <x:c r="H3" s="11" t="str"/>
    </x:row>
    <x:row r="4">
      <x:c r="A4" t="str">
        <x:v>VO03</x:v>
      </x:c>
      <x:c r="B4" t="str">
        <x:v>S02</x:v>
      </x:c>
      <x:c r="C4" t="n">
        <x:v>3</x:v>
      </x:c>
      <x:c r="D4" s="11" t="str">
        <x:v>Três possibilidades favoráveis. Cinco possíveis. Três quintos.</x:v>
      </x:c>
      <x:c r="E4" s="11" t="str">
        <x:v>Ritmo cadenciado</x:v>
      </x:c>
      <x:c r="F4" s="11" t="n">
        <x:v>0.8</x:v>
      </x:c>
      <x:c r="G4" s="11" t="str">
        <x:v>READY</x:v>
      </x:c>
      <x:c r="H4" s="11" t="str">
        <x:v>Sincronizar com agrupamento.</x:v>
      </x:c>
    </x:row>
    <x:row r="5">
      <x:c r="A5" t="str">
        <x:v>VO04</x:v>
      </x:c>
      <x:c r="B5" t="str">
        <x:v>S03</x:v>
      </x:c>
      <x:c r="C5" t="n">
        <x:v>4</x:v>
      </x:c>
      <x:c r="D5" s="11" t="str">
        <x:v>Esse conjunto de resultados é o espaço amostral.</x:v>
      </x:c>
      <x:c r="E5" s="11" t="str">
        <x:v>Explicativo</x:v>
      </x:c>
      <x:c r="F5" s="11" t="n">
        <x:v>0.5</x:v>
      </x:c>
      <x:c r="G5" s="11" t="str">
        <x:v>READY</x:v>
      </x:c>
      <x:c r="H5" s="11" t="str"/>
    </x:row>
    <x:row r="6">
      <x:c r="A6" t="str">
        <x:v>VO05</x:v>
      </x:c>
      <x:c r="B6" t="str">
        <x:v>S03</x:v>
      </x:c>
      <x:c r="C6" t="n">
        <x:v>5</x:v>
      </x:c>
      <x:c r="D6" s="11" t="str">
        <x:v>Para número par, interessam 2, 4 e 6.</x:v>
      </x:c>
      <x:c r="E6" s="11" t="str">
        <x:v>Objetivo</x:v>
      </x:c>
      <x:c r="F6" s="11" t="n">
        <x:v>0.5</x:v>
      </x:c>
      <x:c r="G6" s="11" t="str">
        <x:v>READY</x:v>
      </x:c>
      <x:c r="H6" s="11" t="str"/>
    </x:row>
    <x:row r="7">
      <x:c r="A7" t="str">
        <x:v>VO06</x:v>
      </x:c>
      <x:c r="B7" t="str">
        <x:v>S04</x:v>
      </x:c>
      <x:c r="C7" t="n">
        <x:v>6</x:v>
      </x:c>
      <x:c r="D7" s="11" t="str">
        <x:v>No caso mostrado, o OU reúne as possibilidades que servem.</x:v>
      </x:c>
      <x:c r="E7" s="11" t="str">
        <x:v>Cauteloso</x:v>
      </x:c>
      <x:c r="F7" s="11" t="n">
        <x:v>0.7</x:v>
      </x:c>
      <x:c r="G7" s="11" t="str">
        <x:v>READY</x:v>
      </x:c>
      <x:c r="H7" s="11" t="str">
        <x:v>Evitar absolutismo.</x:v>
      </x:c>
    </x:row>
    <x:row r="8">
      <x:c r="A8" t="str">
        <x:v>VO07</x:v>
      </x:c>
      <x:c r="B8" t="str">
        <x:v>S05</x:v>
      </x:c>
      <x:c r="C8" t="n">
        <x:v>7</x:v>
      </x:c>
      <x:c r="D8" s="11" t="str">
        <x:v>Agora duas jogadas de moeda... aparecem quatro caminhos.</x:v>
      </x:c>
      <x:c r="E8" s="11" t="str">
        <x:v>Construção progressiva</x:v>
      </x:c>
      <x:c r="F8" s="11" t="n">
        <x:v>0.5</x:v>
      </x:c>
      <x:c r="G8" s="11" t="str">
        <x:v>READY</x:v>
      </x:c>
      <x:c r="H8" s="11" t="str"/>
    </x:row>
    <x:row r="9">
      <x:c r="A9" t="str">
        <x:v>VO08</x:v>
      </x:c>
      <x:c r="B9" t="str">
        <x:v>S05</x:v>
      </x:c>
      <x:c r="C9" t="n">
        <x:v>8</x:v>
      </x:c>
      <x:c r="D9" s="11" t="str">
        <x:v>A multiplicação representa o caminho percorrido na árvore.</x:v>
      </x:c>
      <x:c r="E9" s="11" t="str">
        <x:v>Enfatizar 'caminho'</x:v>
      </x:c>
      <x:c r="F9" s="11" t="n">
        <x:v>0.8</x:v>
      </x:c>
      <x:c r="G9" s="11" t="str">
        <x:v>READY</x:v>
      </x:c>
      <x:c r="H9" s="11" t="str">
        <x:v>Mensagem central.</x:v>
      </x:c>
    </x:row>
    <x:row r="10">
      <x:c r="A10" t="str">
        <x:v>VO09</x:v>
      </x:c>
      <x:c r="B10" t="str">
        <x:v>S06</x:v>
      </x:c>
      <x:c r="C10" t="n">
        <x:v>9</x:v>
      </x:c>
      <x:c r="D10" s="11" t="str">
        <x:v>Uma azul saiu. Agora restam quatro bolas.</x:v>
      </x:c>
      <x:c r="E10" s="11" t="str">
        <x:v>Mais lento</x:v>
      </x:c>
      <x:c r="F10" s="11" t="n">
        <x:v>0.6</x:v>
      </x:c>
      <x:c r="G10" s="11" t="str">
        <x:v>READY</x:v>
      </x:c>
      <x:c r="H10" s="11" t="str">
        <x:v>Esperar alteração visual.</x:v>
      </x:c>
    </x:row>
    <x:row r="11">
      <x:c r="A11" t="str">
        <x:v>VO10</x:v>
      </x:c>
      <x:c r="B11" t="str">
        <x:v>S06</x:v>
      </x:c>
      <x:c r="C11" t="n">
        <x:v>10</x:v>
      </x:c>
      <x:c r="D11" s="11" t="str">
        <x:v>A segunda probabilidade não é mais três quintos. É dois sobre quatro.</x:v>
      </x:c>
      <x:c r="E11" s="11" t="str">
        <x:v>Ênfase contrastiva</x:v>
      </x:c>
      <x:c r="F11" s="11" t="n">
        <x:v>0.8</x:v>
      </x:c>
      <x:c r="G11" s="11" t="str">
        <x:v>READY</x:v>
      </x:c>
      <x:c r="H11" s="11" t="str"/>
    </x:row>
    <x:row r="12">
      <x:c r="A12" t="str">
        <x:v>VO11</x:v>
      </x:c>
      <x:c r="B12" t="str">
        <x:v>S06</x:v>
      </x:c>
      <x:c r="C12" t="n">
        <x:v>11</x:v>
      </x:c>
      <x:c r="D12" s="11" t="str">
        <x:v>O cenário mudou. Por isso a probabilidade mudou.</x:v>
      </x:c>
      <x:c r="E12" s="11" t="str">
        <x:v>Conclusivo</x:v>
      </x:c>
      <x:c r="F12" s="11" t="n">
        <x:v>0.9</x:v>
      </x:c>
      <x:c r="G12" s="11" t="str">
        <x:v>READY</x:v>
      </x:c>
      <x:c r="H12" s="11" t="str">
        <x:v>Frase-chave.</x:v>
      </x:c>
    </x:row>
    <x:row r="13">
      <x:c r="A13" t="str">
        <x:v>VO12</x:v>
      </x:c>
      <x:c r="B13" t="str">
        <x:v>S07</x:v>
      </x:c>
      <x:c r="C13" t="n">
        <x:v>12</x:v>
      </x:c>
      <x:c r="D13" s="11" t="str">
        <x:v>Pelo menos uma vermelha gera vários caminhos... mas existe um jeito mais simples.</x:v>
      </x:c>
      <x:c r="E13" s="11" t="str">
        <x:v>Criar tensão e alívio</x:v>
      </x:c>
      <x:c r="F13" s="11" t="n">
        <x:v>0.8</x:v>
      </x:c>
      <x:c r="G13" s="11" t="str">
        <x:v>READY</x:v>
      </x:c>
      <x:c r="H13" s="11" t="str"/>
    </x:row>
    <x:row r="14">
      <x:c r="A14" t="str">
        <x:v>VO13</x:v>
      </x:c>
      <x:c r="B14" t="str">
        <x:v>S07</x:v>
      </x:c>
      <x:c r="C14" t="n">
        <x:v>13</x:v>
      </x:c>
      <x:c r="D14" s="11" t="str">
        <x:v>Qual é o contrário? Nenhuma vermelha.</x:v>
      </x:c>
      <x:c r="E14" s="11" t="str">
        <x:v>Pausa antes de 'nenhuma'</x:v>
      </x:c>
      <x:c r="F14" s="11" t="n">
        <x:v>1</x:v>
      </x:c>
      <x:c r="G14" s="11" t="str">
        <x:v>READY</x:v>
      </x:c>
      <x:c r="H14" s="11" t="str"/>
    </x:row>
    <x:row r="15">
      <x:c r="A15" t="str">
        <x:v>VO14</x:v>
      </x:c>
      <x:c r="B15" t="str">
        <x:v>S08</x:v>
      </x:c>
      <x:c r="C15" t="n">
        <x:v>14</x:v>
      </x:c>
      <x:c r="D15" s="11" t="str">
        <x:v>Agora tente você: quatro azuis, três vermelhas, duas retiradas sem reposição.</x:v>
      </x:c>
      <x:c r="E15" s="11" t="str">
        <x:v>Instrutivo</x:v>
      </x:c>
      <x:c r="F15" s="11" t="n">
        <x:v>2.5</x:v>
      </x:c>
      <x:c r="G15" s="11" t="str">
        <x:v>READY</x:v>
      </x:c>
      <x:c r="H15" s="11" t="str">
        <x:v>Pausa para resposta.</x:v>
      </x:c>
    </x:row>
    <x:row r="16">
      <x:c r="A16" t="str">
        <x:v>VO15</x:v>
      </x:c>
      <x:c r="B16" t="str">
        <x:v>S08</x:v>
      </x:c>
      <x:c r="C16" t="n">
        <x:v>15</x:v>
      </x:c>
      <x:c r="D16" s="11" t="str">
        <x:v>O contrário de pelo menos uma vermelha é nenhuma vermelha.</x:v>
      </x:c>
      <x:c r="E16" s="11" t="str">
        <x:v>Confirmação</x:v>
      </x:c>
      <x:c r="F16" s="11" t="n">
        <x:v>0.5</x:v>
      </x:c>
      <x:c r="G16" s="11" t="str">
        <x:v>READY</x:v>
      </x:c>
      <x:c r="H16" s="11" t="str"/>
    </x:row>
    <x:row r="17">
      <x:c r="A17" t="str">
        <x:v>VO16</x:v>
      </x:c>
      <x:c r="B17" t="str">
        <x:v>S08</x:v>
      </x:c>
      <x:c r="C17" t="n">
        <x:v>16</x:v>
      </x:c>
      <x:c r="D17" s="11" t="str">
        <x:v>Resultado: cinco sobre sete, aproximadamente setenta e um vírgula quatro por cento.</x:v>
      </x:c>
      <x:c r="E17" s="11" t="str">
        <x:v>Conclusivo</x:v>
      </x:c>
      <x:c r="F17" s="11" t="n">
        <x:v>0.8</x:v>
      </x:c>
      <x:c r="G17" s="11" t="str">
        <x:v>READY</x:v>
      </x:c>
      <x:c r="H17" s="11" t="str"/>
    </x:row>
    <x:row r="18">
      <x:c r="A18" t="str">
        <x:v>VO17</x:v>
      </x:c>
      <x:c r="B18" t="str">
        <x:v>S09</x:v>
      </x:c>
      <x:c r="C18" t="n">
        <x:v>17</x:v>
      </x:c>
      <x:c r="D18" s="11" t="str">
        <x:v>Espaço amostral mostra tudo; favoráveis mostram o que interessa; E acompanha um caminho.</x:v>
      </x:c>
      <x:c r="E18" s="11" t="str">
        <x:v>Recap rápido</x:v>
      </x:c>
      <x:c r="F18" s="11" t="n">
        <x:v>0.4</x:v>
      </x:c>
      <x:c r="G18" s="11" t="str">
        <x:v>READY</x:v>
      </x:c>
      <x:c r="H18" s="11" t="str"/>
    </x:row>
    <x:row r="19">
      <x:c r="A19" t="str">
        <x:v>VO18</x:v>
      </x:c>
      <x:c r="B19" t="str">
        <x:v>S09</x:v>
      </x:c>
      <x:c r="C19" t="n">
        <x:v>18</x:v>
      </x:c>
      <x:c r="D19" s="11" t="str">
        <x:v>Probabilidade não começa na fórmula. Começa nas possibilidades.</x:v>
      </x:c>
      <x:c r="E19" s="11" t="str">
        <x:v>Fechamento firme</x:v>
      </x:c>
      <x:c r="F19" s="11" t="n">
        <x:v>0</x:v>
      </x:c>
      <x:c r="G19" s="11" t="str">
        <x:v>READY</x:v>
      </x:c>
      <x:c r="H19" s="11" t="str">
        <x:v>Última frase antes da marca.</x:v>
      </x:c>
    </x:row>
  </x:sheetData>
  <x:dataValidations count="1">
    <x:dataValidation type="list" sqref="G2:G19">
      <x:formula1>"READY,RECORDED,RETAKE,APPROVED"</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4" hidden="0" customWidth="1"/>
    <x:col min="3" max="3" width="38" hidden="0" customWidth="1"/>
    <x:col min="4" max="4" width="34" hidden="0" customWidth="1"/>
    <x:col min="5" max="5" width="52" hidden="0" customWidth="1"/>
    <x:col min="6" max="6" width="18" hidden="0" customWidth="1"/>
    <x:col min="7" max="7" width="32" hidden="0" customWidth="1"/>
    <x:col min="8" max="8" width="38" hidden="0" customWidth="1"/>
  </x:cols>
  <x:sheetData>
    <x:row r="1">
      <x:c r="A1" s="35" t="str">
        <x:v>PatternId</x:v>
      </x:c>
      <x:c r="B1" s="35" t="str">
        <x:v>PatternName</x:v>
      </x:c>
      <x:c r="C1" s="35" t="str">
        <x:v>Purpose</x:v>
      </x:c>
      <x:c r="D1" s="35" t="str">
        <x:v>Trigger</x:v>
      </x:c>
      <x:c r="E1" s="35" t="str">
        <x:v>Motion</x:v>
      </x:c>
      <x:c r="F1" s="35" t="str">
        <x:v>DurationGuideline</x:v>
      </x:c>
      <x:c r="G1" s="35" t="str">
        <x:v>ReuseCandidates</x:v>
      </x:c>
      <x:c r="H1" s="35" t="str">
        <x:v>DoNot</x:v>
      </x:c>
    </x:row>
    <x:row r="2">
      <x:c r="A2" t="str">
        <x:v>P01</x:v>
      </x:c>
      <x:c r="B2" s="11" t="str">
        <x:v>Object → Formula</x:v>
      </x:c>
      <x:c r="C2" s="11" t="str">
        <x:v>Mostrar que a fórmula nasce do objeto.</x:v>
      </x:c>
      <x:c r="D2" s="11" t="str">
        <x:v>Depois que o objeto estiver compreendido.</x:v>
      </x:c>
      <x:c r="E2" s="11" t="str">
        <x:v>Objetos agrupam; números surgem a partir das quantidades; só então fração.</x:v>
      </x:c>
      <x:c r="F2" s="11" t="str">
        <x:v>0.8–1.5 s</x:v>
      </x:c>
      <x:c r="G2" s="11" t="str">
        <x:v>Porcentagem, combinatória, estatística</x:v>
      </x:c>
      <x:c r="H2" s="11" t="str">
        <x:v>Não fazer fórmula entrar primeiro.</x:v>
      </x:c>
    </x:row>
    <x:row r="3">
      <x:c r="A3" t="str">
        <x:v>P02</x:v>
      </x:c>
      <x:c r="B3" s="11" t="str">
        <x:v>Set → Subset</x:v>
      </x:c>
      <x:c r="C3" s="11" t="str">
        <x:v>Explicar universo e casos relevantes.</x:v>
      </x:c>
      <x:c r="D3" s="11" t="str">
        <x:v>Ao definir espaço amostral.</x:v>
      </x:c>
      <x:c r="E3" s="11" t="str">
        <x:v>Todos os itens aparecem; subconjunto recebe contorno/luz; demais perdem contraste.</x:v>
      </x:c>
      <x:c r="F3" s="11" t="str">
        <x:v>0.6–1.2 s</x:v>
      </x:c>
      <x:c r="G3" s="11" t="str">
        <x:v>Conjuntos, lógica, estatística</x:v>
      </x:c>
      <x:c r="H3" s="11" t="str">
        <x:v>Não apagar contexto total.</x:v>
      </x:c>
    </x:row>
    <x:row r="4">
      <x:c r="A4" t="str">
        <x:v>P03</x:v>
      </x:c>
      <x:c r="B4" s="11" t="str">
        <x:v>Decision Tree</x:v>
      </x:c>
      <x:c r="C4" s="11" t="str">
        <x:v>Representar sequência/condicionamento.</x:v>
      </x:c>
      <x:c r="D4" s="11" t="str">
        <x:v>Quando houver eventos sucessivos.</x:v>
      </x:c>
      <x:c r="E4" s="11" t="str">
        <x:v>Galhos crescem da esquerda para a direita; caminho ativo ganha destaque.</x:v>
      </x:c>
      <x:c r="F4" s="11" t="str">
        <x:v>0.3–0.6 s por galho</x:v>
      </x:c>
      <x:c r="G4" s="11" t="str">
        <x:v>Probabilidade, lógica, processos</x:v>
      </x:c>
      <x:c r="H4" s="11" t="str">
        <x:v>Não mostrar árvore completa de uma vez.</x:v>
      </x:c>
    </x:row>
    <x:row r="5">
      <x:c r="A5" t="str">
        <x:v>P04</x:v>
      </x:c>
      <x:c r="B5" s="11" t="str">
        <x:v>State Mutation</x:v>
      </x:c>
      <x:c r="C5" s="11" t="str">
        <x:v>Mostrar que o sistema mudou.</x:v>
      </x:c>
      <x:c r="D5" s="11" t="str">
        <x:v>Após evento sem reposição.</x:v>
      </x:c>
      <x:c r="E5" s="11" t="str">
        <x:v>Objeto removido; contadores e fração refluem para novo estado.</x:v>
      </x:c>
      <x:c r="F5" s="11" t="str">
        <x:v>0.8–1.2 s</x:v>
      </x:c>
      <x:c r="G5" s="11" t="str">
        <x:v>Estoques, filas, algoritmos</x:v>
      </x:c>
      <x:c r="H5" s="11" t="str">
        <x:v>Não mudar números sem mostrar causa.</x:v>
      </x:c>
    </x:row>
    <x:row r="6">
      <x:c r="A6" t="str">
        <x:v>P05</x:v>
      </x:c>
      <x:c r="B6" s="11" t="str">
        <x:v>Complex → Simple</x:v>
      </x:c>
      <x:c r="C6" s="11" t="str">
        <x:v>Mostrar valor do complemento/atalho.</x:v>
      </x:c>
      <x:c r="D6" s="11" t="str">
        <x:v>Depois de apresentar múltiplos caminhos.</x:v>
      </x:c>
      <x:c r="E6" s="11" t="str">
        <x:v>Complexidade aparece; elementos colapsam; alternativa simples permanece.</x:v>
      </x:c>
      <x:c r="F6" s="11" t="str">
        <x:v>1.0–1.8 s</x:v>
      </x:c>
      <x:c r="G6" s="11" t="str">
        <x:v>Complemento, negação, exceções</x:v>
      </x:c>
      <x:c r="H6" s="11" t="str">
        <x:v>Não esconder o motivo da simplificação.</x:v>
      </x:c>
    </x:row>
    <x:row r="7">
      <x:c r="A7" t="str">
        <x:v>P06</x:v>
      </x:c>
      <x:c r="B7" s="11" t="str">
        <x:v>Practice Reveal</x:v>
      </x:c>
      <x:c r="C7" s="11" t="str">
        <x:v>Criar recuperação ativa.</x:v>
      </x:c>
      <x:c r="D7" s="11" t="str">
        <x:v>Antes de resolver questão.</x:v>
      </x:c>
      <x:c r="E7" s="11" t="str">
        <x:v>Pergunta e cenário estáveis; pausa; solução entra em etapas.</x:v>
      </x:c>
      <x:c r="F7" s="11" t="str">
        <x:v>2–4 s de pausa</x:v>
      </x:c>
      <x:c r="G7" s="11" t="str">
        <x:v>Todos os vídeos</x:v>
      </x:c>
      <x:c r="H7" s="11" t="str">
        <x:v>Não preencher o silêncio com dica visual involuntária.</x:v>
      </x:c>
    </x:row>
    <x:row r="8">
      <x:c r="A8" t="str">
        <x:v>P07</x:v>
      </x:c>
      <x:c r="B8" s="11" t="str">
        <x:v>Four-card Recap</x:v>
      </x:c>
      <x:c r="C8" s="11" t="str">
        <x:v>Fixar modelos mentais.</x:v>
      </x:c>
      <x:c r="D8" s="11" t="str">
        <x:v>Últimos 20 s.</x:v>
      </x:c>
      <x:c r="E8" s="11" t="str">
        <x:v>Cartões entram um por um, cada qual com ícone + frase curta.</x:v>
      </x:c>
      <x:c r="F8" s="11" t="str">
        <x:v>0.4 s por cartão</x:v>
      </x:c>
      <x:c r="G8" s="11" t="str">
        <x:v>Todos os vídeos</x:v>
      </x:c>
      <x:c r="H8" s="11" t="str">
        <x:v>Não criar novo conteúdo no recap.</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44" hidden="0" customWidth="1"/>
    <x:col min="3" max="3" width="24" hidden="0" customWidth="1"/>
    <x:col min="4" max="4" width="40" hidden="0" customWidth="1"/>
    <x:col min="5" max="5" width="42" hidden="0" customWidth="1"/>
    <x:col min="6" max="6" width="18" hidden="0" customWidth="1"/>
  </x:cols>
  <x:sheetData>
    <x:row r="1">
      <x:c r="A1" s="70" t="str">
        <x:v>Variant</x:v>
      </x:c>
      <x:c r="B1" s="70" t="str">
        <x:v>Visual</x:v>
      </x:c>
      <x:c r="C1" s="70" t="str">
        <x:v>Text</x:v>
      </x:c>
      <x:c r="D1" s="70" t="str">
        <x:v>Intent</x:v>
      </x:c>
      <x:c r="E1" s="70" t="str">
        <x:v>Risk</x:v>
      </x:c>
      <x:c r="F1" s="70" t="str">
        <x:v>Status</x:v>
      </x:c>
    </x:row>
    <x:row r="2">
      <x:c r="A2" t="str">
        <x:v>A2-1</x:v>
      </x:c>
      <x:c r="B2" s="11" t="str">
        <x:v>Personagem adulto + urna; uma bola azul fora; 3/5 → 2/4</x:v>
      </x:c>
      <x:c r="C2" s="11" t="str">
        <x:v>POR QUE MUDOU?</x:v>
      </x:c>
      <x:c r="D2" s="11" t="str">
        <x:v>Storytelling + curiosidade + mudança visual.</x:v>
      </x:c>
      <x:c r="E2" s="11" t="str">
        <x:v>Precisa manter leitura simples em mobile.</x:v>
      </x:c>
      <x:c r="F2" s="11" t="str">
        <x:v>PRIMARY</x:v>
      </x:c>
    </x:row>
    <x:row r="3">
      <x:c r="A3" t="str">
        <x:v>A2-2</x:v>
      </x:c>
      <x:c r="B3" s="11" t="str">
        <x:v>Personagem diante da urna + pequena árvore</x:v>
      </x:c>
      <x:c r="C3" s="11" t="str">
        <x:v>VEJA. NÃO DECORE.</x:v>
      </x:c>
      <x:c r="D3" s="11" t="str">
        <x:v>Vender a proposta do canal.</x:v>
      </x:c>
      <x:c r="E3" s="11" t="str">
        <x:v>Mais institucional; menos específico.</x:v>
      </x:c>
      <x:c r="F3" s="11" t="str">
        <x:v>SECONDARY</x:v>
      </x:c>
    </x:row>
    <x:row r="4">
      <x:c r="A4" t="str">
        <x:v>A2-3</x:v>
      </x:c>
      <x:c r="B4" s="11" t="str">
        <x:v>Urna + bolas + árvore sem personagem</x:v>
      </x:c>
      <x:c r="C4" s="11" t="str">
        <x:v>VEJA. NÃO DECORE.</x:v>
      </x:c>
      <x:c r="D4" s="11" t="str">
        <x:v>Controle para comparar personagem vs. sem personagem.</x:v>
      </x:c>
      <x:c r="E4" s="11" t="str">
        <x:v>Menor tensão narrativa.</x:v>
      </x:c>
      <x:c r="F4" s="11" t="str">
        <x:v>CONTROL</x:v>
      </x:c>
    </x:row>
    <x:row r="5">
      <x:c r="A5" t="str">
        <x:v>A2-4</x:v>
      </x:c>
      <x:c r="B5" s="11" t="str">
        <x:v>Duas urnas lado a lado: antes/depois; personagem apontando</x:v>
      </x:c>
      <x:c r="C5" s="11" t="str">
        <x:v>3/5 ≠ 2/4?</x:v>
      </x:c>
      <x:c r="D5" s="11" t="str">
        <x:v>Curiosidade matemática específica.</x:v>
      </x:c>
      <x:c r="E5" s="11" t="str">
        <x:v>Símbolo ≠ pode afastar iniciantes.</x:v>
      </x:c>
      <x:c r="F5" s="11" t="str">
        <x:v>EXPERIMENTAL</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2" hidden="0" customWidth="1"/>
    <x:col min="3" max="3" width="90" hidden="0" customWidth="1"/>
    <x:col min="4" max="4" width="62" hidden="0" customWidth="1"/>
    <x:col min="5" max="5" width="28" hidden="0" customWidth="1"/>
  </x:cols>
  <x:sheetData>
    <x:row r="1">
      <x:c r="A1" s="43" t="str">
        <x:v>PromptId</x:v>
      </x:c>
      <x:c r="B1" s="43" t="str">
        <x:v>Use</x:v>
      </x:c>
      <x:c r="C1" s="43" t="str">
        <x:v>Prompt</x:v>
      </x:c>
      <x:c r="D1" s="43" t="str">
        <x:v>NegativeConstraints</x:v>
      </x:c>
      <x:c r="E1" s="43" t="str">
        <x:v>Output</x:v>
      </x:c>
    </x:row>
    <x:row r="2">
      <x:c r="A2" t="str">
        <x:v>PR01</x:v>
      </x:c>
      <x:c r="B2" s="11" t="str">
        <x:v>Urna / balls asset</x:v>
      </x:c>
      <x:c r="C2" s="11" t="str">
        <x:v>Create a clean flat educational vector illustration of a transparent-front probability urn, front view, simple geometry, no text, suitable for motion graphics and an educational YouTube video. Keep the silhouette readable at small size. Neutral styling so brand colors can be applied later.</x:v>
      </x:c>
      <x:c r="D2" s="11" t="str">
        <x:v>No photorealism; no gradients that obscure shape; no labels; no decorative background; no people.</x:v>
      </x:c>
      <x:c r="E2" s="11" t="str">
        <x:v>Transparent PNG or editable vector</x:v>
      </x:c>
    </x:row>
    <x:row r="3">
      <x:c r="A3" t="str">
        <x:v>PR02</x:v>
      </x:c>
      <x:c r="B3" s="11" t="str">
        <x:v>Dice asset</x:v>
      </x:c>
      <x:c r="C3" s="11" t="str">
        <x:v>Create a clean simplified educational die illustration, slightly dimensional but not photorealistic, with highly legible pips and a neutral visual language suitable for animated educational diagrams.</x:v>
      </x:c>
      <x:c r="D3" s="11" t="str">
        <x:v>No casino styling; no dramatic lighting; no background; no text.</x:v>
      </x:c>
      <x:c r="E3" s="11" t="str">
        <x:v>Transparent PNG or editable vector</x:v>
      </x:c>
    </x:row>
    <x:row r="4">
      <x:c r="A4" t="str">
        <x:v>PR03</x:v>
      </x:c>
      <x:c r="B4" s="11" t="str">
        <x:v>Coin faces</x:v>
      </x:c>
      <x:c r="C4" s="11" t="str">
        <x:v>Create a pair of simple neutral educational coin-face icons representing heads and tails, designed for motion-graphics diagrams. Use abstract readable symbols rather than currency-specific branding.</x:v>
      </x:c>
      <x:c r="D4" s="11" t="str">
        <x:v>No real currency; no portraits of real people; no background; no tiny detail.</x:v>
      </x:c>
      <x:c r="E4" s="11" t="str">
        <x:v>Transparent PNG or editable vector</x:v>
      </x:c>
    </x:row>
    <x:row r="5">
      <x:c r="A5" t="str">
        <x:v>PR04</x:v>
      </x:c>
      <x:c r="B5" s="11" t="str">
        <x:v>Thumbnail A composition</x:v>
      </x:c>
      <x:c r="C5" s="11" t="str">
        <x:v>Design a YouTube thumbnail composition for an educational video about probability: a simple urn with three blue balls and two red balls on the left, a branching probability tree on the right, strong negative space for the words 'VEJA. NÃO DECORE.'. Clear at mobile size, modern educational visual language.</x:v>
      </x:c>
      <x:c r="D5" s="11" t="str">
        <x:v>No human faces; no clutter; no tiny formulas; no stock-photo look; no misleading imagery.</x:v>
      </x:c>
      <x:c r="E5" s="11" t="str">
        <x:v>16:9 thumbnail concept</x:v>
      </x:c>
    </x:row>
    <x:row r="6">
      <x:c r="A6" t="str">
        <x:v>PR05</x:v>
      </x:c>
      <x:c r="B6" s="11" t="str">
        <x:v>Styleframe</x:v>
      </x:c>
      <x:c r="C6" s="11" t="str">
        <x:v>Create a 16:9 educational motion-graphics styleframe for a faceless visual-learning channel. Show five colored balls aligned horizontally, three highlighted as favorable outcomes, with a simple fraction 3/5 emerging from the grouping. Minimal text, strong hierarchy, flat shapes, generous negative space, contemporary explanatory-design aesthetic.</x:v>
      </x:c>
      <x:c r="D6" s="11" t="str">
        <x:v>No classroom, no presenter, no chalkboard aesthetic, no dense paragraphs, no decorative illustration unrelated to the concept.</x:v>
      </x:c>
      <x:c r="E6" s="11" t="str">
        <x:v>16:9 styleframe</x:v>
      </x:c>
    </x:row>
    <x:row r="7">
      <x:c r="A7" t="str">
        <x:v>PR06</x:v>
      </x:c>
      <x:c r="B7" t="str">
        <x:v>Character C01 base</x:v>
      </x:c>
      <x:c r="C7" t="str">
        <x:v>Create a clean editorial explainer-animation character for an adult Brazilian educational YouTube channel. Young adult, simplified geometric proportions, contemporary casual neutral clothing, expressive but restrained face, vector-like shapes, suitable for reusable motion-graphics poses. The character must feel adult and intelligent, not childish, and work across math, language, law and technology topics.</x:v>
      </x:c>
      <x:c r="D7" t="str">
        <x:v>No chibi proportions; no oversized head; no anime; no mascot suit; no classroom teacher pose; no photorealism; no detailed textures; no background.</x:v>
      </x:c>
      <x:c r="E7" t="str">
        <x:v>Transparent PNG / character-sheet concept</x:v>
      </x:c>
    </x:row>
    <x:row r="8">
      <x:c r="A8" t="str">
        <x:v>PR07</x:v>
      </x:c>
      <x:c r="B8" t="str">
        <x:v>Character C01 pose sheet</x:v>
      </x:c>
      <x:c r="C8" t="str">
        <x:v>Using one consistent adult editorial explainer character, create a pose sheet with: neutral standing, thinking, pointing, holding a small object, mild surprise, looking at a screen, walking, and holding a ball removed from an urn. Keep anatomy, clothes and facial design consistent across all poses.</x:v>
      </x:c>
      <x:c r="D8" t="str">
        <x:v>No childish gestures; no exaggerated meme reactions; no text; no background.</x:v>
      </x:c>
      <x:c r="E8" t="str">
        <x:v>Pose sheet</x:v>
      </x:c>
    </x:row>
    <x:row r="9">
      <x:c r="A9" t="str">
        <x:v>PR08</x:v>
      </x:c>
      <x:c r="B9" t="str">
        <x:v>Probability story styleframe</x:v>
      </x:c>
      <x:c r="C9" t="str">
        <x:v>Create a 16:9 editorial visual-storytelling styleframe for an adult educational YouTube video about probability. A simplified adult cartoon character stands beside a semi-flat probability urn containing three blue balls and two coral-red balls. The character is about to draw one ball. The background is clean off-white with generous negative space. Motion-graphics labels are flat and minimal. Contemporary explanatory-design aesthetic, premium but approachable.</x:v>
      </x:c>
      <x:c r="D9" t="str">
        <x:v>No presenter-to-camera framing; no classroom; no childish cartoon style; no glossy 3D render; no crowded formulas; no stock-photo look.</x:v>
      </x:c>
      <x:c r="E9" t="str">
        <x:v>16:9 styleframe</x:v>
      </x:c>
    </x:row>
    <x:row r="10">
      <x:c r="A10" t="str">
        <x:v>PR09</x:v>
      </x:c>
      <x:c r="B10" t="str">
        <x:v>Thumbnail storytelling</x:v>
      </x:c>
      <x:c r="C10" t="str">
        <x:v>Design a YouTube thumbnail concept for an adult visual-learning channel. A simplified editorial cartoon adult is looking at a probability urn. One blue ball has just been removed, and a large clean visual shows 3/5 changing to 2/4. Strong curiosity and visual contrast. Reserve clean space for the phrase 'POR QUE MUDOU?'. Mobile-first readability.</x:v>
      </x:c>
      <x:c r="D10" t="str">
        <x:v>No teacher face close-up; no childish cartoon; no excessive emojis; no tiny text; no clutter; no misleading clickbait.</x:v>
      </x:c>
      <x:c r="E10" t="str">
        <x:v>16:9 thumbnail concept</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4" hidden="0" customWidth="1"/>
    <x:col min="3" max="3" width="46" hidden="0" customWidth="1"/>
    <x:col min="4" max="4" width="58" hidden="0" customWidth="1"/>
    <x:col min="5" max="5" width="14" hidden="0" customWidth="1"/>
    <x:col min="6" max="6" width="46" hidden="0" customWidth="1"/>
  </x:cols>
  <x:sheetData>
    <x:row r="1">
      <x:c r="A1" s="47" t="str">
        <x:v>CheckId</x:v>
      </x:c>
      <x:c r="B1" s="47" t="str">
        <x:v>Stage</x:v>
      </x:c>
      <x:c r="C1" s="47" t="str">
        <x:v>Check</x:v>
      </x:c>
      <x:c r="D1" s="47" t="str">
        <x:v>PassCriteria</x:v>
      </x:c>
      <x:c r="E1" s="47" t="str">
        <x:v>Status</x:v>
      </x:c>
      <x:c r="F1" s="47" t="str">
        <x:v>Evidence</x:v>
      </x:c>
    </x:row>
    <x:row r="2">
      <x:c r="A2" t="str">
        <x:v>Q01</x:v>
      </x:c>
      <x:c r="B2" t="str">
        <x:v>SCRIPT</x:v>
      </x:c>
      <x:c r="C2" s="11" t="str">
        <x:v>Cada cena ensina uma ideia principal.</x:v>
      </x:c>
      <x:c r="D2" s="11" t="str">
        <x:v>Nenhuma cena exige leitura de parágrafo longo.</x:v>
      </x:c>
      <x:c r="E2" s="11" t="str">
        <x:v>PENDING</x:v>
      </x:c>
      <x:c r="F2" s="11" t="str"/>
    </x:row>
    <x:row r="3">
      <x:c r="A3" t="str">
        <x:v>Q02</x:v>
      </x:c>
      <x:c r="B3" t="str">
        <x:v>SCRIPT</x:v>
      </x:c>
      <x:c r="C3" s="11" t="str">
        <x:v>Fórmula aparece depois do modelo visual.</x:v>
      </x:c>
      <x:c r="D3" s="11" t="str">
        <x:v>S02, S05, S06 e S08 obedecem sequência visual→conta.</x:v>
      </x:c>
      <x:c r="E3" s="11" t="str">
        <x:v>PENDING</x:v>
      </x:c>
      <x:c r="F3" s="11" t="str"/>
    </x:row>
    <x:row r="4">
      <x:c r="A4" t="str">
        <x:v>Q03</x:v>
      </x:c>
      <x:c r="B4" t="str">
        <x:v>VISUAL</x:v>
      </x:c>
      <x:c r="C4" s="11" t="str">
        <x:v>Texto simultâneo limitado.</x:v>
      </x:c>
      <x:c r="D4" s="11" t="str">
        <x:v>Máx. ~8–10 palavras fora da questão final.</x:v>
      </x:c>
      <x:c r="E4" s="11" t="str">
        <x:v>PENDING</x:v>
      </x:c>
      <x:c r="F4" s="11" t="str"/>
    </x:row>
    <x:row r="5">
      <x:c r="A5" t="str">
        <x:v>Q04</x:v>
      </x:c>
      <x:c r="B5" t="str">
        <x:v>VISUAL</x:v>
      </x:c>
      <x:c r="C5" s="11" t="str">
        <x:v>Movimento tem função semântica.</x:v>
      </x:c>
      <x:c r="D5" s="11" t="str">
        <x:v>Nenhuma animação puramente decorativa em conceito central.</x:v>
      </x:c>
      <x:c r="E5" s="11" t="str">
        <x:v>PENDING</x:v>
      </x:c>
      <x:c r="F5" s="11" t="str"/>
    </x:row>
    <x:row r="6">
      <x:c r="A6" t="str">
        <x:v>Q05</x:v>
      </x:c>
      <x:c r="B6" t="str">
        <x:v>VOICE</x:v>
      </x:c>
      <x:c r="C6" s="11" t="str">
        <x:v>Narração não descreve redundante o que já está óbvio.</x:v>
      </x:c>
      <x:c r="D6" s="11" t="str">
        <x:v>Voz acrescenta raciocínio, não legenda a tela.</x:v>
      </x:c>
      <x:c r="E6" s="11" t="str">
        <x:v>PENDING</x:v>
      </x:c>
      <x:c r="F6" s="11" t="str"/>
    </x:row>
    <x:row r="7">
      <x:c r="A7" t="str">
        <x:v>Q06</x:v>
      </x:c>
      <x:c r="B7" t="str">
        <x:v>VOICE</x:v>
      </x:c>
      <x:c r="C7" s="11" t="str">
        <x:v>Pausas respeitam cognição.</x:v>
      </x:c>
      <x:c r="D7" s="11" t="str">
        <x:v>S06 e S08 têm tempo suficiente para observar mudanças.</x:v>
      </x:c>
      <x:c r="E7" s="11" t="str">
        <x:v>PENDING</x:v>
      </x:c>
      <x:c r="F7" s="11" t="str"/>
    </x:row>
    <x:row r="8">
      <x:c r="A8" t="str">
        <x:v>Q07</x:v>
      </x:c>
      <x:c r="B8" t="str">
        <x:v>AUDIO</x:v>
      </x:c>
      <x:c r="C8" s="11" t="str">
        <x:v>SFX não compete com voz.</x:v>
      </x:c>
      <x:c r="D8" s="11" t="str">
        <x:v>Picos abaixo da narração; uso pontual.</x:v>
      </x:c>
      <x:c r="E8" s="11" t="str">
        <x:v>PENDING</x:v>
      </x:c>
      <x:c r="F8" s="11" t="str"/>
    </x:row>
    <x:row r="9">
      <x:c r="A9" t="str">
        <x:v>Q08</x:v>
      </x:c>
      <x:c r="B9" t="str">
        <x:v>MOTION</x:v>
      </x:c>
      <x:c r="C9" s="11" t="str">
        <x:v>Sem reposição mostra causa antes do novo denominador.</x:v>
      </x:c>
      <x:c r="D9" s="11" t="str">
        <x:v>Bola sai antes de 5→4 e 3→2.</x:v>
      </x:c>
      <x:c r="E9" s="11" t="str">
        <x:v>PENDING</x:v>
      </x:c>
      <x:c r="F9" s="11" t="str"/>
    </x:row>
    <x:row r="10">
      <x:c r="A10" t="str">
        <x:v>Q09</x:v>
      </x:c>
      <x:c r="B10" t="str">
        <x:v>MOTION</x:v>
      </x:c>
      <x:c r="C10" s="11" t="str">
        <x:v>Complemento mostra complexidade antes do atalho.</x:v>
      </x:c>
      <x:c r="D10" s="11" t="str">
        <x:v>Três caminhos aparecem antes de sobrar azul→azul.</x:v>
      </x:c>
      <x:c r="E10" s="11" t="str">
        <x:v>PENDING</x:v>
      </x:c>
      <x:c r="F10" s="11" t="str"/>
    </x:row>
    <x:row r="11">
      <x:c r="A11" t="str">
        <x:v>Q10</x:v>
      </x:c>
      <x:c r="B11" t="str">
        <x:v>THUMBNAIL</x:v>
      </x:c>
      <x:c r="C11" s="11" t="str">
        <x:v>Leitura em tela pequena.</x:v>
      </x:c>
      <x:c r="D11" s="11" t="str">
        <x:v>Mensagem legível em preview de celular.</x:v>
      </x:c>
      <x:c r="E11" s="11" t="str">
        <x:v>PENDING</x:v>
      </x:c>
      <x:c r="F11" s="11" t="str"/>
    </x:row>
    <x:row r="12">
      <x:c r="A12" t="str">
        <x:v>Q11</x:v>
      </x:c>
      <x:c r="B12" t="str">
        <x:v>EXPORT</x:v>
      </x:c>
      <x:c r="C12" s="11" t="str">
        <x:v>Áudio e vídeo sincronizados.</x:v>
      </x:c>
      <x:c r="D12" s="11" t="str">
        <x:v>Sem drift perceptível ao longo dos 9 minutos.</x:v>
      </x:c>
      <x:c r="E12" s="11" t="str">
        <x:v>PENDING</x:v>
      </x:c>
      <x:c r="F12" s="11" t="str"/>
    </x:row>
    <x:row r="13">
      <x:c r="A13" t="str">
        <x:v>Q12</x:v>
      </x:c>
      <x:c r="B13" t="str">
        <x:v>EXPORT</x:v>
      </x:c>
      <x:c r="C13" s="11" t="str">
        <x:v>Legendas conferidas.</x:v>
      </x:c>
      <x:c r="D13" s="11" t="str">
        <x:v>Sem erros matemáticos, ortográficos ou temporais.</x:v>
      </x:c>
      <x:c r="E13" s="11" t="str">
        <x:v>PENDING</x:v>
      </x:c>
      <x:c r="F13" s="11" t="str"/>
    </x:row>
  </x:sheetData>
  <x:conditionalFormatting sqref="E2:E13">
    <x:cfRule type="expression" dxfId="5" priority="1">
      <x:formula>E2="PASS"</x:formula>
    </x:cfRule>
    <x:cfRule type="expression" dxfId="6" priority="2">
      <x:formula>E2="FAIL"</x:formula>
    </x:cfRule>
  </x:conditionalFormatting>
  <x:dataValidations count="1">
    <x:dataValidation type="list" sqref="E2:E13">
      <x:formula1>"PENDING,PASS,FAIL,N/A"</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70" hidden="0" customWidth="1"/>
  </x:cols>
  <x:sheetData>
    <x:row r="1">
      <x:c r="A1" s="51" t="str">
        <x:v>Path</x:v>
      </x:c>
      <x:c r="B1" s="51" t="str">
        <x:v>Purpose</x:v>
      </x:c>
    </x:row>
    <x:row r="2">
      <x:c r="A2" t="str">
        <x:v>01_script/</x:v>
      </x:c>
      <x:c r="B2" s="11" t="str">
        <x:v>Roteiro, versões e legendas.</x:v>
      </x:c>
    </x:row>
    <x:row r="3">
      <x:c r="A3" t="str">
        <x:v>02_voice/</x:v>
      </x:c>
      <x:c r="B3" s="11" t="str">
        <x:v>Takes de voz, voz limpa, mix aprovado.</x:v>
      </x:c>
    </x:row>
    <x:row r="4">
      <x:c r="A4" t="str">
        <x:v>03_assets/vector/</x:v>
      </x:c>
      <x:c r="B4" s="11" t="str">
        <x:v>Urna, bolas, dado, moedas, ícones.</x:v>
      </x:c>
    </x:row>
    <x:row r="5">
      <x:c r="A5" t="str">
        <x:v>03_assets/audio/</x:v>
      </x:c>
      <x:c r="B5" s="11" t="str">
        <x:v>SFX e música.</x:v>
      </x:c>
    </x:row>
    <x:row r="6">
      <x:c r="A6" t="str">
        <x:v>04_project/</x:v>
      </x:c>
      <x:c r="B6" s="11" t="str">
        <x:v>Arquivo principal de edição/animação.</x:v>
      </x:c>
    </x:row>
    <x:row r="7">
      <x:c r="A7" t="str">
        <x:v>05_renders/review/</x:v>
      </x:c>
      <x:c r="B7" s="11" t="str">
        <x:v>Exports de revisão numerados.</x:v>
      </x:c>
    </x:row>
    <x:row r="8">
      <x:c r="A8" t="str">
        <x:v>05_renders/final/</x:v>
      </x:c>
      <x:c r="B8" s="11" t="str">
        <x:v>Master final e versão para upload.</x:v>
      </x:c>
    </x:row>
    <x:row r="9">
      <x:c r="A9" t="str">
        <x:v>06_thumbnail/</x:v>
      </x:c>
      <x:c r="B9" s="11" t="str">
        <x:v>Variações A/B/C e fonte editável.</x:v>
      </x:c>
    </x:row>
    <x:row r="10">
      <x:c r="A10" t="str">
        <x:v>07_metadata/</x:v>
      </x:c>
      <x:c r="B10" s="11" t="str">
        <x:v>Título, descrição, capítulos, tags internas, checklist publicação.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92" hidden="0" customWidth="1"/>
  </x:cols>
  <x:sheetData>
    <x:row r="1">
      <x:c r="A1" s="62" t="str">
        <x:v>ENTENDA VENDO — A2</x:v>
      </x:c>
      <x:c r="B1" s="62" t="str">
        <x:v>Editorial Visual Storytelling</x:v>
      </x:c>
    </x:row>
    <x:row r="2">
      <x:c r="A2" s="11" t="str">
        <x:v>Princípio</x:v>
      </x:c>
      <x:c r="B2" s="11" t="str">
        <x:v>Conceito → metáfora visual → personagem somente quando melhora a compreensão.</x:v>
      </x:c>
    </x:row>
    <x:row r="3">
      <x:c r="A3" s="11" t="str">
        <x:v>Público</x:v>
      </x:c>
      <x:c r="B3" s="11" t="str">
        <x:v>Adulto; linguagem limpa, contemporânea, não infantil.</x:v>
      </x:c>
    </x:row>
    <x:row r="4">
      <x:c r="A4" s="11" t="str"/>
      <x:c r="B4" s="11" t="str"/>
    </x:row>
    <x:row r="5">
      <x:c r="A5" s="63" t="str">
        <x:v>Camada</x:v>
      </x:c>
      <x:c r="B5" s="63" t="str">
        <x:v>Diretriz</x:v>
      </x:c>
    </x:row>
    <x:row r="6">
      <x:c r="A6" s="11" t="str">
        <x:v>Motion graphics / diagramas</x:v>
      </x:c>
      <x:c r="B6" s="11" t="str">
        <x:v>Base do vídeo. Explicam relações, fluxos, hierarquias, fórmulas e transformações.</x:v>
      </x:c>
    </x:row>
    <x:row r="7">
      <x:c r="A7" s="11" t="str">
        <x:v>Cartoon / storytelling</x:v>
      </x:c>
      <x:c r="B7" s="11" t="str">
        <x:v>Micro-histórias curtas; personagens agem dentro do conceito, não apresentam a aula.</x:v>
      </x:c>
    </x:row>
    <x:row r="8">
      <x:c r="A8" s="11" t="str">
        <x:v>Objetos físicos</x:v>
      </x:c>
      <x:c r="B8" s="11" t="str">
        <x:v>Semi-flat com leve volume; urna, bolas, dado, moedas e objetos cotidianos.</x:v>
      </x:c>
    </x:row>
    <x:row r="9">
      <x:c r="A9" s="11" t="str">
        <x:v>Tipografia / fórmulas</x:v>
      </x:c>
      <x:c r="B9" s="11" t="str">
        <x:v>Flat, muito legíveis, com animação funcional e pouco texto simultâneo.</x:v>
      </x:c>
    </x:row>
    <x:row r="10">
      <x:c r="A10" s="11" t="str"/>
      <x:c r="B10" s="11" t="str"/>
    </x:row>
    <x:row r="11">
      <x:c r="A11" s="11" t="str">
        <x:v>Proporção de referência</x:v>
      </x:c>
      <x:c r="B11" s="11" t="str">
        <x:v>50% motion/diagramas · 25% cartoon/storytelling · 15% objetos semi-flat · 10% texto/fórmulas</x:v>
      </x:c>
    </x:row>
    <x:row r="12">
      <x:c r="A12" s="11" t="str"/>
      <x:c r="B12" s="11" t="str"/>
    </x:row>
    <x:row r="13">
      <x:c r="A13" s="64" t="str">
        <x:v>Regra</x:v>
      </x:c>
      <x:c r="B13" s="64" t="str">
        <x:v>Aplicação</x:v>
      </x:c>
    </x:row>
    <x:row r="14">
      <x:c r="A14" s="11" t="str">
        <x:v>Personagem como agente</x:v>
      </x:c>
      <x:c r="B14" s="11" t="str">
        <x:v>O personagem retira a bola, escolhe a porta, entrega o dado, recebe uma mensagem etc.</x:v>
      </x:c>
    </x:row>
    <x:row r="15">
      <x:c r="A15" s="11" t="str">
        <x:v>Sem avatar-professor</x:v>
      </x:c>
      <x:c r="B15" s="11" t="str">
        <x:v>Não usar personagem falando para a câmera durante o vídeo inteiro.</x:v>
      </x:c>
    </x:row>
    <x:row r="16">
      <x:c r="A16" s="11" t="str">
        <x:v>Adulto, não infantil</x:v>
      </x:c>
      <x:c r="B16" s="11" t="str">
        <x:v>Proporções simplificadas; expressões moderadas; sem olhos gigantes/cabeça desproporcional.</x:v>
      </x:c>
    </x:row>
    <x:row r="17">
      <x:c r="A17" s="11" t="str">
        <x:v>Cor semântica</x:v>
      </x:c>
      <x:c r="B17" s="11" t="str">
        <x:v>Cor identifica estados, alternativas, risco, resposta e destaque. Não colorir por decoração.</x:v>
      </x:c>
    </x:row>
    <x:row r="18">
      <x:c r="A18" s="11" t="str">
        <x:v>Movimento semântico</x:v>
      </x:c>
      <x:c r="B18" s="11" t="str">
        <x:v>Todo movimento central deve indicar mudança, causa, sequência, seleção ou consequência.</x:v>
      </x:c>
    </x:row>
    <x:row r="19">
      <x:c r="A19" s="11" t="str">
        <x:v>Narrativa curta</x:v>
      </x:c>
      <x:c r="B19" s="11" t="str">
        <x:v>História entra para criar contexto e sai quando o conceito passa a ser melhor explicado por diagrama.</x:v>
      </x:c>
    </x:row>
    <x:row r="20">
      <x:c r="A20" s="11" t="str">
        <x:v>Transição narrativa</x:v>
      </x:c>
      <x:c r="B20" s="11" t="str">
        <x:v>História → representação → abstração → fórmula → aplicação.</x:v>
      </x:c>
    </x:row>
    <x:row r="21">
      <x:c r="A21" s="11" t="str"/>
      <x:c r="B21" s="11" t="str"/>
    </x:row>
    <x:row r="22">
      <x:c r="A22" s="11" t="str">
        <x:v>Objetos físicos</x:v>
      </x:c>
      <x:c r="B22" s="11" t="str">
        <x:v>Semi-flat; profundidade discreta; sombra leve; sem render realista.</x:v>
      </x:c>
    </x:row>
    <x:row r="23">
      <x:c r="A23" s="11" t="str">
        <x:v>Conceitos</x:v>
      </x:c>
      <x:c r="B23" s="11" t="str">
        <x:v>Flat; linhas, cartões, setas, diagramas e tipografia.</x:v>
      </x:c>
    </x:row>
    <x:row r="24">
      <x:c r="A24" s="11" t="str">
        <x:v>Fundo</x:v>
      </x:c>
      <x:c r="B24" s="11" t="str">
        <x:v>Claro/off-white; grande área negativa.</x:v>
      </x:c>
    </x:row>
    <x:row r="25">
      <x:c r="A25" s="11" t="str">
        <x:v>Estilo de ilustração</x:v>
      </x:c>
      <x:c r="B25" s="11" t="str">
        <x:v>Editorial explainer animation; vetorial; formas limpas; detalhes mínimos.</x:v>
      </x:c>
    </x:row>
  </x:sheetData>
  <x:mergeCells>
    <x:mergeCell ref="A1:B1"/>
  </x:mergeCells>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52" hidden="0" customWidth="1"/>
    <x:col min="4" max="4" width="56" hidden="0" customWidth="1"/>
    <x:col min="5" max="5" width="38" hidden="0" customWidth="1"/>
    <x:col min="6" max="6" width="44" hidden="0" customWidth="1"/>
    <x:col min="7" max="7" width="40" hidden="0" customWidth="1"/>
    <x:col min="8" max="8" width="48" hidden="0" customWidth="1"/>
    <x:col min="9" max="9" width="14" hidden="0" customWidth="1"/>
  </x:cols>
  <x:sheetData>
    <x:row r="1">
      <x:c r="A1" s="66" t="str">
        <x:v>CharacterId</x:v>
      </x:c>
      <x:c r="B1" s="66" t="str">
        <x:v>Role</x:v>
      </x:c>
      <x:c r="C1" s="66" t="str">
        <x:v>VisualProfile</x:v>
      </x:c>
      <x:c r="D1" s="66" t="str">
        <x:v>CorePoses</x:v>
      </x:c>
      <x:c r="E1" s="66" t="str">
        <x:v>ExpressionSet</x:v>
      </x:c>
      <x:c r="F1" s="66" t="str">
        <x:v>ReusableContexts</x:v>
      </x:c>
      <x:c r="G1" s="66" t="str">
        <x:v>Do</x:v>
      </x:c>
      <x:c r="H1" s="66" t="str">
        <x:v>DoNot</x:v>
      </x:c>
      <x:c r="I1" s="66" t="str">
        <x:v>Status</x:v>
      </x:c>
    </x:row>
    <x:row r="2">
      <x:c r="A2" t="str">
        <x:v>C01</x:v>
      </x:c>
      <x:c r="B2" s="11" t="str">
        <x:v>Pessoa principal / aprendiz</x:v>
      </x:c>
      <x:c r="C2" s="11" t="str">
        <x:v>Adulto jovem, roupa casual neutra, formas geométricas simples, expressão legível sem exagero.</x:v>
      </x:c>
      <x:c r="D2" s="11" t="str">
        <x:v>neutro; pensando; apontando; segurando objeto; surpresa leve; caminhando; olhando tela</x:v>
      </x:c>
      <x:c r="E2" s="11" t="str">
        <x:v>neutro; dúvida; compreensão; atenção; pequena surpresa</x:v>
      </x:c>
      <x:c r="F2" s="11" t="str">
        <x:v>Matemática, Português, LGPD, Segurança, Direito, TI</x:v>
      </x:c>
      <x:c r="G2" s="11" t="str">
        <x:v>Usar como agente da situação e escala humana.</x:v>
      </x:c>
      <x:c r="H2" s="11" t="str">
        <x:v>Não usar como apresentador fixo nem mascote infantil.</x:v>
      </x:c>
      <x:c r="I2" s="11" t="str">
        <x:v>SPEC_READY</x:v>
      </x:c>
    </x:row>
    <x:row r="3">
      <x:c r="A3" t="str">
        <x:v>C02</x:v>
      </x:c>
      <x:c r="B3" s="11" t="str">
        <x:v>Segunda pessoa / contraponto</x:v>
      </x:c>
      <x:c r="C3" s="11" t="str">
        <x:v>Adulto, silhueta e roupa distintas de C01, mesma família gráfica.</x:v>
      </x:c>
      <x:c r="D3" s="11" t="str">
        <x:v>conversando; recebendo objeto; escolhendo opção; entregando dado; reagindo</x:v>
      </x:c>
      <x:c r="E3" s="11" t="str">
        <x:v>neutro; concordância; dúvida; alerta</x:v>
      </x:c>
      <x:c r="F3" s="11" t="str">
        <x:v>Diálogos de Português, LGPD, Direito, situações com duas partes</x:v>
      </x:c>
      <x:c r="G3" s="11" t="str">
        <x:v>Criar contraste narrativo sem competir com o conceito.</x:v>
      </x:c>
      <x:c r="H3" s="11" t="str">
        <x:v>Não criar personalidade complexa ou lore no MVP.</x:v>
      </x:c>
      <x:c r="I3" s="11" t="str">
        <x:v>SPEC_READY</x:v>
      </x:c>
    </x:row>
    <x:row r="4">
      <x:c r="A4" t="str">
        <x:v>C03</x:v>
      </x:c>
      <x:c r="B4" s="11" t="str">
        <x:v>Autoridade / organização</x:v>
      </x:c>
      <x:c r="C4" s="11" t="str">
        <x:v>Adulto ou figura institucional simplificada; visual sóbrio.</x:v>
      </x:c>
      <x:c r="D4" s="11" t="str">
        <x:v>apontando fluxo; recebendo documento; aprovando/rejeitando</x:v>
      </x:c>
      <x:c r="E4" s="11" t="str">
        <x:v>neutro; atenção; decisão</x:v>
      </x:c>
      <x:c r="F4" s="11" t="str">
        <x:v>Direito Administrativo, Estado, contratos, LGPD</x:v>
      </x:c>
      <x:c r="G4" s="11" t="str">
        <x:v>Representar papel institucional quando necessário.</x:v>
      </x:c>
      <x:c r="H4" s="11" t="str">
        <x:v>Não personificar órgãos reais desnecessariamente.</x:v>
      </x:c>
      <x:c r="I4" s="11" t="str">
        <x:v>SPEC_READY</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8" hidden="0" customWidth="1"/>
    <x:col min="3" max="3" width="52" hidden="0" customWidth="1"/>
    <x:col min="4" max="4" width="52" hidden="0" customWidth="1"/>
    <x:col min="5" max="5" width="34" hidden="0" customWidth="1"/>
    <x:col min="6" max="6" width="40" hidden="0" customWidth="1"/>
    <x:col min="7" max="7" width="44" hidden="0" customWidth="1"/>
    <x:col min="8" max="8" width="18" hidden="0" customWidth="1"/>
  </x:cols>
  <x:sheetData>
    <x:row r="1">
      <x:c r="A1" s="61" t="str">
        <x:v>SceneId</x:v>
      </x:c>
      <x:c r="B1" s="61" t="str">
        <x:v>ExistingCore</x:v>
      </x:c>
      <x:c r="C1" s="61" t="str">
        <x:v>CartoonLayer</x:v>
      </x:c>
      <x:c r="D1" s="61" t="str">
        <x:v>DiagramLayer</x:v>
      </x:c>
      <x:c r="E1" s="61" t="str">
        <x:v>ObjectLayer</x:v>
      </x:c>
      <x:c r="F1" s="61" t="str">
        <x:v>AttentionMechanism</x:v>
      </x:c>
      <x:c r="G1" s="61" t="str">
        <x:v>TransitionLogic</x:v>
      </x:c>
      <x:c r="H1" s="61" t="str">
        <x:v>A2Decision</x:v>
      </x:c>
    </x:row>
    <x:row r="2">
      <x:c r="A2" t="str">
        <x:v>S01</x:v>
      </x:c>
      <x:c r="B2" s="11" t="str">
        <x:v>Urna + pergunta</x:v>
      </x:c>
      <x:c r="C2" s="11" t="str">
        <x:v>C01 diante da urna; precisa tirar azul para 'ganhar'. Reação curta, sem fala labial.</x:v>
      </x:c>
      <x:c r="D2" s="11" t="str">
        <x:v>Nenhum diagrama no primeiro instante.</x:v>
      </x:c>
      <x:c r="E2" s="11" t="str">
        <x:v>Urna e bolas semi-flat.</x:v>
      </x:c>
      <x:c r="F2" s="11" t="str">
        <x:v>Microobjetivo + antecipação: 'qual a chance?'</x:v>
      </x:c>
      <x:c r="G2" s="11" t="str">
        <x:v>Personagem encara urna → câmera aproxima → objetos isolam-se.</x:v>
      </x:c>
      <x:c r="H2" s="11" t="str">
        <x:v>REVISE</x:v>
      </x:c>
    </x:row>
    <x:row r="3">
      <x:c r="A3" t="str">
        <x:v>S02</x:v>
      </x:c>
      <x:c r="B3" s="11" t="str">
        <x:v>3/5 nasce dos objetos</x:v>
      </x:c>
      <x:c r="C3" s="11" t="str">
        <x:v>C01 observa as bolas se alinharem; personagem desaparece da composição quando a abstração começa.</x:v>
      </x:c>
      <x:c r="D3" s="11" t="str">
        <x:v>Agrupamento favoráveis vs possíveis; fração emerge.</x:v>
      </x:c>
      <x:c r="E3" s="11" t="str">
        <x:v>Bolas semi-flat migrando para layout flat.</x:v>
      </x:c>
      <x:c r="F3" s="11" t="str">
        <x:v>Transformação física → conceito.</x:v>
      </x:c>
      <x:c r="G3" s="11" t="str">
        <x:v>História → representação → fórmula.</x:v>
      </x:c>
      <x:c r="H3" s="11" t="str">
        <x:v>REVISE</x:v>
      </x:c>
    </x:row>
    <x:row r="4">
      <x:c r="A4" t="str">
        <x:v>S03</x:v>
      </x:c>
      <x:c r="B4" s="11" t="str">
        <x:v>Dado / espaço amostral</x:v>
      </x:c>
      <x:c r="C4" s="11" t="str">
        <x:v>C01 lança dado uma única vez; depois sai de cena.</x:v>
      </x:c>
      <x:c r="D4" s="11" t="str">
        <x:v>1–6 em cartões; pares destacados.</x:v>
      </x:c>
      <x:c r="E4" s="11" t="str">
        <x:v>Dado semi-flat.</x:v>
      </x:c>
      <x:c r="F4" s="11" t="str">
        <x:v>Ação curta que gera o conjunto.</x:v>
      </x:c>
      <x:c r="G4" s="11" t="str">
        <x:v>Objeto → resultados → subconjunto.</x:v>
      </x:c>
      <x:c r="H4" s="11" t="str">
        <x:v>REVISE</x:v>
      </x:c>
    </x:row>
    <x:row r="5">
      <x:c r="A5" t="str">
        <x:v>S04</x:v>
      </x:c>
      <x:c r="B5" s="11" t="str">
        <x:v>OU</x:v>
      </x:c>
      <x:c r="C5" s="11" t="str">
        <x:v>Sem personagem; foco é conceitual.</x:v>
      </x:c>
      <x:c r="D5" s="11" t="str">
        <x:v>1 e 6 destacados; união visual.</x:v>
      </x:c>
      <x:c r="E5" s="11" t="str">
        <x:v>Dado pode permanecer pequeno como contexto.</x:v>
      </x:c>
      <x:c r="F5" s="11" t="str">
        <x:v>Dois caminhos se acendem simultaneamente.</x:v>
      </x:c>
      <x:c r="G5" s="11" t="str">
        <x:v>Exemplo concreto → regra visual.</x:v>
      </x:c>
      <x:c r="H5" s="11" t="str">
        <x:v>KEEP_DIAGRAM</x:v>
      </x:c>
    </x:row>
    <x:row r="6">
      <x:c r="A6" t="str">
        <x:v>S05</x:v>
      </x:c>
      <x:c r="B6" s="11" t="str">
        <x:v>E / árvore</x:v>
      </x:c>
      <x:c r="C6" s="11" t="str">
        <x:v>C01 lança moeda; C02 recebe segunda moeda ou representa segunda etapa.</x:v>
      </x:c>
      <x:c r="D6" s="11" t="str">
        <x:v>Árvore cresce a partir das ações; caminho cara→coroa acende.</x:v>
      </x:c>
      <x:c r="E6" s="11" t="str">
        <x:v>Moedas semi-flat.</x:v>
      </x:c>
      <x:c r="F6" s="11" t="str">
        <x:v>Sequência + previsão do próximo ramo.</x:v>
      </x:c>
      <x:c r="G6" s="11" t="str">
        <x:v>Ação humana → árvore → multiplicação.</x:v>
      </x:c>
      <x:c r="H6" s="11" t="str">
        <x:v>REVISE</x:v>
      </x:c>
    </x:row>
    <x:row r="7">
      <x:c r="A7" t="str">
        <x:v>S06</x:v>
      </x:c>
      <x:c r="B7" s="11" t="str">
        <x:v>Sem reposição</x:v>
      </x:c>
      <x:c r="C7" s="11" t="str">
        <x:v>C01 retira uma bola azul da urna e a segura fora dela.</x:v>
      </x:c>
      <x:c r="D7" s="11" t="str">
        <x:v>Contadores 5→4 e 3→2; fração acompanha estado.</x:v>
      </x:c>
      <x:c r="E7" s="11" t="str">
        <x:v>Urna/bolas semi-flat.</x:v>
      </x:c>
      <x:c r="F7" s="11" t="str">
        <x:v>Mudança visível de estado; cena mais importante.</x:v>
      </x:c>
      <x:c r="G7" s="11" t="str">
        <x:v>Ação → mudança física → mudança numérica.</x:v>
      </x:c>
      <x:c r="H7" s="11" t="str">
        <x:v>REVISE</x:v>
      </x:c>
    </x:row>
    <x:row r="8">
      <x:c r="A8" t="str">
        <x:v>S07</x:v>
      </x:c>
      <x:c r="B8" s="11" t="str">
        <x:v>Complemento</x:v>
      </x:c>
      <x:c r="C8" s="11" t="str">
        <x:v>C01 tenta acompanhar vários caminhos e fica levemente confuso; composição se enche.</x:v>
      </x:c>
      <x:c r="D8" s="11" t="str">
        <x:v>Três caminhos → colapso → só azul→azul.</x:v>
      </x:c>
      <x:c r="E8" s="11" t="str">
        <x:v>Cartões/bolas apenas como símbolos.</x:v>
      </x:c>
      <x:c r="F8" s="11" t="str">
        <x:v>Sobrecarga controlada seguida de alívio.</x:v>
      </x:c>
      <x:c r="G8" s="11" t="str">
        <x:v>Problema complexo → personagem percebe atalho → diagrama simplifica.</x:v>
      </x:c>
      <x:c r="H8" s="11" t="str">
        <x:v>REVISE</x:v>
      </x:c>
    </x:row>
    <x:row r="9">
      <x:c r="A9" t="str">
        <x:v>S08</x:v>
      </x:c>
      <x:c r="B9" s="11" t="str">
        <x:v>Questão final</x:v>
      </x:c>
      <x:c r="C9" s="11" t="str">
        <x:v>C01 olha a nova urna; sem reação exagerada.</x:v>
      </x:c>
      <x:c r="D9" s="11" t="str">
        <x:v>Pergunta, pausa real, depois resolução pelo complemento.</x:v>
      </x:c>
      <x:c r="E9" s="11" t="str">
        <x:v>Urna 4 azuis + 3 vermelhas.</x:v>
      </x:c>
      <x:c r="F9" s="11" t="str">
        <x:v>Recuperação ativa; espectador resolve antes do vídeo.</x:v>
      </x:c>
      <x:c r="G9" s="11" t="str">
        <x:v>Situação → pausa → solução visual.</x:v>
      </x:c>
      <x:c r="H9" s="11" t="str">
        <x:v>REVISE</x:v>
      </x:c>
    </x:row>
    <x:row r="10">
      <x:c r="A10" t="str">
        <x:v>S09</x:v>
      </x:c>
      <x:c r="B10" s="11" t="str">
        <x:v>Recap</x:v>
      </x:c>
      <x:c r="C10" s="11" t="str">
        <x:v>Personagens não aparecem.</x:v>
      </x:c>
      <x:c r="D10" s="11" t="str">
        <x:v>Quatro cartões mentais.</x:v>
      </x:c>
      <x:c r="E10" s="11" t="str">
        <x:v>Ícones flat derivados dos objetos.</x:v>
      </x:c>
      <x:c r="F10" s="11" t="str">
        <x:v>Compressão final e reconhecimento.</x:v>
      </x:c>
      <x:c r="G10" s="11" t="str">
        <x:v>Conceitos → marca.</x:v>
      </x:c>
      <x:c r="H10" s="11" t="str">
        <x:v>KEEP_DIAGRAM</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2" hidden="0" customWidth="1"/>
    <x:col min="3" max="3" width="18" hidden="0" customWidth="1"/>
    <x:col min="4" max="4" width="18" hidden="0" customWidth="1"/>
    <x:col min="5" max="5" width="18" hidden="0" customWidth="1"/>
    <x:col min="6" max="6" width="78" hidden="0" customWidth="1"/>
    <x:col min="7" max="7" width="18" hidden="0" customWidth="1"/>
    <x:col min="8" max="8" width="78" hidden="0" customWidth="1"/>
  </x:cols>
  <x:sheetData>
    <x:row r="1">
      <x:c r="A1" s="73" t="str">
        <x:v>Asset</x:v>
      </x:c>
      <x:c r="B1" s="73" t="str">
        <x:v>Status</x:v>
      </x:c>
      <x:c r="C1" s="73" t="str">
        <x:v>DidacticAccuracy</x:v>
      </x:c>
      <x:c r="D1" s="73" t="str">
        <x:v>StyleConsistency</x:v>
      </x:c>
      <x:c r="E1" s="73" t="str">
        <x:v>AttentionPotential</x:v>
      </x:c>
      <x:c r="F1" s="73" t="str">
        <x:v>IssuesFound</x:v>
      </x:c>
      <x:c r="G1" s="73" t="str">
        <x:v>Decision</x:v>
      </x:c>
      <x:c r="H1" s="73" t="str">
        <x:v>RequiredAction</x:v>
      </x:c>
    </x:row>
    <x:row r="2">
      <x:c r="A2" t="str">
        <x:v>A2 Critical Styleboard</x:v>
      </x:c>
      <x:c r="B2" t="str">
        <x:v>APPROVED_WITH_NOTES</x:v>
      </x:c>
      <x:c r="C2" t="str">
        <x:v>PASS</x:v>
      </x:c>
      <x:c r="D2" t="str">
        <x:v>PASS</x:v>
      </x:c>
      <x:c r="E2" t="str">
        <x:v>HIGH</x:v>
      </x:c>
      <x:c r="F2" s="11" t="str">
        <x:v>Complemento agora mostra corretamente três caminhos com pelo menos uma vermelha versus um único caminho azul→azul. Personagem está adulto/editorial e menos infantil. O quadro 3/5→2/4 é conceitualmente correto como mudança de estado.</x:v>
      </x:c>
      <x:c r="G2" s="11" t="str">
        <x:v>KEEP</x:v>
      </x:c>
      <x:c r="H2" s="11" t="str">
        <x:v>Usar como referência visual; não como frame literal final.</x:v>
      </x:c>
    </x:row>
    <x:row r="3">
      <x:c r="A3" t="str">
        <x:v>C01 Character Sheet</x:v>
      </x:c>
      <x:c r="B3" t="str">
        <x:v>APPROVED_REFERENCE</x:v>
      </x:c>
      <x:c r="C3" t="str">
        <x:v>N/A</x:v>
      </x:c>
      <x:c r="D3" t="str">
        <x:v>PASS</x:v>
      </x:c>
      <x:c r="E3" t="str">
        <x:v>MEDIUM</x:v>
      </x:c>
      <x:c r="F3" s="11" t="str">
        <x:v>Boa consistência geral de roupa, cabelo e linguagem adulta. Pequenas diferenças faciais entre poses são aceitáveis para referência, mas não para sprites finais frame a frame.</x:v>
      </x:c>
      <x:c r="G3" s="11" t="str">
        <x:v>KEEP_AS_REFERENCE</x:v>
      </x:c>
      <x:c r="H3" s="11" t="str">
        <x:v>Na produção, derivar poses de um master vetorial/rig consistente; não animar alternando PNGs gerados independentemente.</x:v>
      </x:c>
    </x:row>
    <x:row r="4">
      <x:c r="A4" t="str">
        <x:v>Thumbnail POR QUE MUDOU?</x:v>
      </x:c>
      <x:c r="B4" t="str">
        <x:v>REWORK</x:v>
      </x:c>
      <x:c r="C4" t="str">
        <x:v>FAIL</x:v>
      </x:c>
      <x:c r="D4" t="str">
        <x:v>PASS</x:v>
      </x:c>
      <x:c r="E4" t="str">
        <x:v>HIGH</x:v>
      </x:c>
      <x:c r="F4" s="11" t="str">
        <x:v>A composição e a pergunta são fortes, mas a contagem visual da urna não representa inequivocamente o estado após retirar uma azul. Isso pode contradizer 3/5→2/4.</x:v>
      </x:c>
      <x:c r="G4" s="11" t="str">
        <x:v>REJECT_CURRENT</x:v>
      </x:c>
      <x:c r="H4" s="11" t="str">
        <x:v>Refazer com estado explícito: ANTES = urna com 3 azuis + 2 vermelhas; DEPOIS = uma azul fora e urna com exatamente 2 azuis + 2 vermelhas.</x:v>
      </x:c>
    </x:row>
  </x:sheetData>
  <x:conditionalFormatting sqref="B2:B4">
    <x:cfRule type="expression" dxfId="7" priority="1">
      <x:formula>B2="REWORK"</x:formula>
    </x:cfRule>
    <x:cfRule type="expression" dxfId="8" priority="2">
      <x:formula>B2="APPROVED_REFERENCE"</x:formula>
    </x:cfRule>
    <x:cfRule type="expression" dxfId="9" priority="3">
      <x:formula>B2="APPROVED_WITH_NOTES"</x:formula>
    </x:cfRule>
  </x:conditionalFormatting>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8" hidden="0" customWidth="1"/>
    <x:col min="3" max="3" width="8" hidden="0" customWidth="1"/>
    <x:col min="4" max="4" width="8" hidden="0" customWidth="1"/>
    <x:col min="5" max="5" width="42" hidden="0" customWidth="1"/>
    <x:col min="6" max="6" width="38" hidden="0" customWidth="1"/>
    <x:col min="7" max="7" width="48" hidden="0" customWidth="1"/>
    <x:col min="8" max="8" width="22" hidden="0" customWidth="1"/>
    <x:col min="9" max="9" width="26" hidden="0" customWidth="1"/>
    <x:col min="10" max="10" width="32" hidden="0" customWidth="1"/>
    <x:col min="11" max="11" width="18" hidden="0" customWidth="1"/>
    <x:col min="12" max="12" width="24" hidden="0" customWidth="1"/>
    <x:col min="13" max="13" width="72" hidden="0" customWidth="1"/>
    <x:col min="14" max="14" width="12" hidden="0" customWidth="1"/>
  </x:cols>
  <x:sheetData>
    <x:row r="1">
      <x:c r="A1" s="75" t="str">
        <x:v>Shot</x:v>
      </x:c>
      <x:c r="B1" s="75" t="str">
        <x:v>Scene</x:v>
      </x:c>
      <x:c r="C1" s="75" t="str">
        <x:v>SecIn</x:v>
      </x:c>
      <x:c r="D1" s="75" t="str">
        <x:v>SecOut</x:v>
      </x:c>
      <x:c r="E1" s="75" t="str">
        <x:v>VisualState</x:v>
      </x:c>
      <x:c r="F1" s="75" t="str">
        <x:v>CharacterAction</x:v>
      </x:c>
      <x:c r="G1" s="75" t="str">
        <x:v>DiagramAction</x:v>
      </x:c>
      <x:c r="H1" s="75" t="str">
        <x:v>Camera</x:v>
      </x:c>
      <x:c r="I1" s="75" t="str">
        <x:v>OnScreenText</x:v>
      </x:c>
      <x:c r="J1" s="75" t="str">
        <x:v>VOTrigger</x:v>
      </x:c>
      <x:c r="K1" s="75" t="str">
        <x:v>SFX</x:v>
      </x:c>
      <x:c r="L1" s="75" t="str">
        <x:v>Transition</x:v>
      </x:c>
      <x:c r="M1" s="75" t="str">
        <x:v>AcceptanceCriteria</x:v>
      </x:c>
      <x:c r="N1" s="75" t="str">
        <x:v>Status</x:v>
      </x:c>
    </x:row>
    <x:row r="2">
      <x:c r="A2" t="str">
        <x:v>SH01</x:v>
      </x:c>
      <x:c r="B2" t="str">
        <x:v>S01</x:v>
      </x:c>
      <x:c r="C2" t="n">
        <x:v>0</x:v>
      </x:c>
      <x:c r="D2" t="n">
        <x:v>5</x:v>
      </x:c>
      <x:c r="E2" s="11" t="str">
        <x:v>Urna 3A/2V no centro; C01 observa.</x:v>
      </x:c>
      <x:c r="F2" s="11" t="str">
        <x:v>C01 aproxima a mão, hesita.</x:v>
      </x:c>
      <x:c r="G2" s="11" t="str">
        <x:v>Nenhum.</x:v>
      </x:c>
      <x:c r="H2" s="11" t="str">
        <x:v>Plano médio estável.</x:v>
      </x:c>
      <x:c r="I2" s="11" t="str">
        <x:v>QUAL A CHANCE?</x:v>
      </x:c>
      <x:c r="J2" s="11" t="str">
        <x:v>Antes da primeira fórmula.</x:v>
      </x:c>
      <x:c r="K2" s="11" t="str">
        <x:v>Objeto leve.</x:v>
      </x:c>
      <x:c r="L2" s="11" t="str">
        <x:v>Cut-in suave.</x:v>
      </x:c>
      <x:c r="M2" s="11" t="str">
        <x:v>Exatamente 3 azuis + 2 vermelhas; nenhuma fórmula.</x:v>
      </x:c>
      <x:c r="N2" s="11" t="str">
        <x:v>READY</x:v>
      </x:c>
    </x:row>
    <x:row r="3">
      <x:c r="A3" t="str">
        <x:v>SH02</x:v>
      </x:c>
      <x:c r="B3" t="str">
        <x:v>S01</x:v>
      </x:c>
      <x:c r="C3" t="n">
        <x:v>5</x:v>
      </x:c>
      <x:c r="D3" t="n">
        <x:v>25</x:v>
      </x:c>
      <x:c r="E3" s="11" t="str">
        <x:v>Urna permanece 3A/2V.</x:v>
      </x:c>
      <x:c r="F3" s="11" t="str">
        <x:v>C01 escolhe visualmente uma azul sem retirar ainda.</x:v>
      </x:c>
      <x:c r="G3" s="11" t="str">
        <x:v>Halo sutil nas azuis.</x:v>
      </x:c>
      <x:c r="H3" s="11" t="str">
        <x:v>Push-in 5%.</x:v>
      </x:c>
      <x:c r="I3" s="11" t="str"/>
      <x:c r="J3" s="11" t="str">
        <x:v>Pergunta de chance.</x:v>
      </x:c>
      <x:c r="K3" s="11" t="str">
        <x:v>Pulso discreto.</x:v>
      </x:c>
      <x:c r="L3" s="11" t="str">
        <x:v>Match cut para bolas alinhadas.</x:v>
      </x:c>
      <x:c r="M3" s="11" t="str">
        <x:v>Não sugerir resposta antes da pergunta terminar.</x:v>
      </x:c>
      <x:c r="N3" s="11" t="str">
        <x:v>READY</x:v>
      </x:c>
    </x:row>
    <x:row r="4">
      <x:c r="A4" t="str">
        <x:v>SH03</x:v>
      </x:c>
      <x:c r="B4" t="str">
        <x:v>S02</x:v>
      </x:c>
      <x:c r="C4" t="n">
        <x:v>25</x:v>
      </x:c>
      <x:c r="D4" t="n">
        <x:v>50</x:v>
      </x:c>
      <x:c r="E4" s="11" t="str">
        <x:v>5 bolas saem da urna e alinham.</x:v>
      </x:c>
      <x:c r="F4" s="11" t="str">
        <x:v>C01 sai de quadro.</x:v>
      </x:c>
      <x:c r="G4" s="11" t="str">
        <x:v>3 azuis agrupadas vs total 5.</x:v>
      </x:c>
      <x:c r="H4" s="11" t="str">
        <x:v>Plano gráfico.</x:v>
      </x:c>
      <x:c r="I4" s="11" t="str">
        <x:v>3 favoráveis / 5 possíveis</x:v>
      </x:c>
      <x:c r="J4" s="11" t="str">
        <x:v>'de onde ela apareceu'</x:v>
      </x:c>
      <x:c r="K4" s="11" t="str">
        <x:v>Clicks.</x:v>
      </x:c>
      <x:c r="L4" s="11" t="str">
        <x:v>Objeto→fórmula.</x:v>
      </x:c>
      <x:c r="M4" s="11" t="str">
        <x:v>Fração só nasce depois da contagem.</x:v>
      </x:c>
      <x:c r="N4" s="11" t="str">
        <x:v>READY</x:v>
      </x:c>
    </x:row>
    <x:row r="5">
      <x:c r="A5" t="str">
        <x:v>SH04</x:v>
      </x:c>
      <x:c r="B5" t="str">
        <x:v>S02</x:v>
      </x:c>
      <x:c r="C5" t="n">
        <x:v>50</x:v>
      </x:c>
      <x:c r="D5" t="n">
        <x:v>80</x:v>
      </x:c>
      <x:c r="E5" s="11" t="str">
        <x:v>Frações e 60%.</x:v>
      </x:c>
      <x:c r="F5" s="11" t="str">
        <x:v>Nenhum.</x:v>
      </x:c>
      <x:c r="G5" s="11" t="str">
        <x:v>3/5 simplificado visualmente como 60%.</x:v>
      </x:c>
      <x:c r="H5" s="11" t="str">
        <x:v>Gráfico estável.</x:v>
      </x:c>
      <x:c r="I5" s="11" t="str">
        <x:v>3/5 = 60%</x:v>
      </x:c>
      <x:c r="J5" s="11" t="str">
        <x:v>Conclusão do primeiro exemplo.</x:v>
      </x:c>
      <x:c r="K5" s="11" t="str">
        <x:v>Resolve suave.</x:v>
      </x:c>
      <x:c r="L5" s="11" t="str">
        <x:v>Fade curto.</x:v>
      </x:c>
      <x:c r="M5" s="11" t="str">
        <x:v>Texto simultâneo limitado.</x:v>
      </x:c>
      <x:c r="N5" s="11" t="str">
        <x:v>READY</x:v>
      </x:c>
    </x:row>
    <x:row r="6">
      <x:c r="A6" t="str">
        <x:v>SH05</x:v>
      </x:c>
      <x:c r="B6" t="str">
        <x:v>S03</x:v>
      </x:c>
      <x:c r="C6" t="n">
        <x:v>80</x:v>
      </x:c>
      <x:c r="D6" t="n">
        <x:v>115</x:v>
      </x:c>
      <x:c r="E6" s="11" t="str">
        <x:v>Dado lançado.</x:v>
      </x:c>
      <x:c r="F6" s="11" t="str">
        <x:v>C01 lança uma vez e sai.</x:v>
      </x:c>
      <x:c r="G6" s="11" t="str">
        <x:v>Resultados 1–6 surgem.</x:v>
      </x:c>
      <x:c r="H6" s="11" t="str">
        <x:v>Plano médio→gráfico.</x:v>
      </x:c>
      <x:c r="I6" s="11" t="str">
        <x:v>ESPAÇO AMOSTRAL</x:v>
      </x:c>
      <x:c r="J6" s="11" t="str">
        <x:v>Definição do conjunto.</x:v>
      </x:c>
      <x:c r="K6" s="11" t="str">
        <x:v>Dado leve.</x:v>
      </x:c>
      <x:c r="L6" s="11" t="str">
        <x:v>Object→set.</x:v>
      </x:c>
      <x:c r="M6" s="11" t="str">
        <x:v>Mostrar todos os 6 antes de destacar pares.</x:v>
      </x:c>
      <x:c r="N6" s="11" t="str">
        <x:v>READY</x:v>
      </x:c>
    </x:row>
    <x:row r="7">
      <x:c r="A7" t="str">
        <x:v>SH06</x:v>
      </x:c>
      <x:c r="B7" t="str">
        <x:v>S03</x:v>
      </x:c>
      <x:c r="C7" t="n">
        <x:v>115</x:v>
      </x:c>
      <x:c r="D7" t="n">
        <x:v>150</x:v>
      </x:c>
      <x:c r="E7" s="11" t="str">
        <x:v>1–6 em cartões.</x:v>
      </x:c>
      <x:c r="F7" s="11" t="str">
        <x:v>Nenhum.</x:v>
      </x:c>
      <x:c r="G7" s="11" t="str">
        <x:v>2,4,6 acendem; 3/6→1/2.</x:v>
      </x:c>
      <x:c r="H7" s="11" t="str">
        <x:v>Plano gráfico.</x:v>
      </x:c>
      <x:c r="I7" s="11" t="str">
        <x:v>2 4 6</x:v>
      </x:c>
      <x:c r="J7" s="11" t="str">
        <x:v>Número par.</x:v>
      </x:c>
      <x:c r="K7" s="11" t="str">
        <x:v>Clicks.</x:v>
      </x:c>
      <x:c r="L7" s="11" t="str">
        <x:v>Set→subset.</x:v>
      </x:c>
      <x:c r="M7" s="11" t="str">
        <x:v>Sem elementos decorativos concorrentes.</x:v>
      </x:c>
      <x:c r="N7" s="11" t="str">
        <x:v>READY</x:v>
      </x:c>
    </x:row>
    <x:row r="8">
      <x:c r="A8" t="str">
        <x:v>SH07</x:v>
      </x:c>
      <x:c r="B8" t="str">
        <x:v>S04</x:v>
      </x:c>
      <x:c r="C8" t="n">
        <x:v>150</x:v>
      </x:c>
      <x:c r="D8" t="n">
        <x:v>195</x:v>
      </x:c>
      <x:c r="E8" s="11" t="str">
        <x:v>Mesmo conjunto 1–6.</x:v>
      </x:c>
      <x:c r="F8" s="11" t="str">
        <x:v>Nenhum.</x:v>
      </x:c>
      <x:c r="G8" s="11" t="str">
        <x:v>1 e 6 destacados e unidos visualmente.</x:v>
      </x:c>
      <x:c r="H8" s="11" t="str">
        <x:v>Gráfico.</x:v>
      </x:c>
      <x:c r="I8" s="11" t="str">
        <x:v>OU</x:v>
      </x:c>
      <x:c r="J8" s="11" t="str">
        <x:v>Evento simples.</x:v>
      </x:c>
      <x:c r="K8" s="11" t="str">
        <x:v>Pulso.</x:v>
      </x:c>
      <x:c r="L8" s="11" t="str">
        <x:v>Highlight.</x:v>
      </x:c>
      <x:c r="M8" s="11" t="str">
        <x:v>Deixar claro que é o caso mostrado, não regra universal.</x:v>
      </x:c>
      <x:c r="N8" s="11" t="str">
        <x:v>READY</x:v>
      </x:c>
    </x:row>
    <x:row r="9">
      <x:c r="A9" t="str">
        <x:v>SH08</x:v>
      </x:c>
      <x:c r="B9" t="str">
        <x:v>S04</x:v>
      </x:c>
      <x:c r="C9" t="n">
        <x:v>195</x:v>
      </x:c>
      <x:c r="D9" t="n">
        <x:v>240</x:v>
      </x:c>
      <x:c r="E9" s="11" t="str">
        <x:v>Resultado 2/6=1/3.</x:v>
      </x:c>
      <x:c r="F9" s="11" t="str">
        <x:v>Nenhum.</x:v>
      </x:c>
      <x:c r="G9" s="11" t="str">
        <x:v>Duas opções convergem para fração.</x:v>
      </x:c>
      <x:c r="H9" s="11" t="str">
        <x:v>Gráfico.</x:v>
      </x:c>
      <x:c r="I9" s="11" t="str">
        <x:v>1 OU 6</x:v>
      </x:c>
      <x:c r="J9" s="11" t="str">
        <x:v>Fechamento OU.</x:v>
      </x:c>
      <x:c r="K9" s="11" t="str">
        <x:v>Resolve.</x:v>
      </x:c>
      <x:c r="L9" s="11" t="str">
        <x:v>Fade.</x:v>
      </x:c>
      <x:c r="M9" s="11" t="str">
        <x:v>Conta deve corresponder ao conjunto.</x:v>
      </x:c>
      <x:c r="N9" s="11" t="str">
        <x:v>READY</x:v>
      </x:c>
    </x:row>
    <x:row r="10">
      <x:c r="A10" t="str">
        <x:v>SH09</x:v>
      </x:c>
      <x:c r="B10" t="str">
        <x:v>S05</x:v>
      </x:c>
      <x:c r="C10" t="n">
        <x:v>240</x:v>
      </x:c>
      <x:c r="D10" t="n">
        <x:v>285</x:v>
      </x:c>
      <x:c r="E10" s="11" t="str">
        <x:v>Primeira moeda.</x:v>
      </x:c>
      <x:c r="F10" s="11" t="str">
        <x:v>C01 lança moeda.</x:v>
      </x:c>
      <x:c r="G10" s="11" t="str">
        <x:v>Árvore abre C/K.</x:v>
      </x:c>
      <x:c r="H10" s="11" t="str">
        <x:v>Médio→gráfico.</x:v>
      </x:c>
      <x:c r="I10" s="11" t="str"/>
      <x:c r="J10" s="11" t="str">
        <x:v>Primeira jogada.</x:v>
      </x:c>
      <x:c r="K10" s="11" t="str">
        <x:v>Ramificação.</x:v>
      </x:c>
      <x:c r="L10" s="11" t="str">
        <x:v>Action→diagram.</x:v>
      </x:c>
      <x:c r="M10" s="11" t="str">
        <x:v>Galhos aparecem após a ação.</x:v>
      </x:c>
      <x:c r="N10" s="11" t="str">
        <x:v>READY</x:v>
      </x:c>
    </x:row>
    <x:row r="11">
      <x:c r="A11" t="str">
        <x:v>SH10</x:v>
      </x:c>
      <x:c r="B11" t="str">
        <x:v>S05</x:v>
      </x:c>
      <x:c r="C11" t="n">
        <x:v>285</x:v>
      </x:c>
      <x:c r="D11" t="n">
        <x:v>335</x:v>
      </x:c>
      <x:c r="E11" s="11" t="str">
        <x:v>Segunda etapa da árvore.</x:v>
      </x:c>
      <x:c r="F11" s="11" t="str">
        <x:v>C02 opcional aciona segunda moeda.</x:v>
      </x:c>
      <x:c r="G11" s="11" t="str">
        <x:v>Quatro caminhos completos; C→K aceso.</x:v>
      </x:c>
      <x:c r="H11" s="11" t="str">
        <x:v>Gráfico.</x:v>
      </x:c>
      <x:c r="I11" s="11" t="str">
        <x:v>E = siga o caminho</x:v>
      </x:c>
      <x:c r="J11" s="11" t="str">
        <x:v>Explicação da multiplicação.</x:v>
      </x:c>
      <x:c r="K11" s="11" t="str">
        <x:v>Ramificação.</x:v>
      </x:c>
      <x:c r="L11" s="11" t="str">
        <x:v>Tree→formula.</x:v>
      </x:c>
      <x:c r="M11" s="11" t="str">
        <x:v>Mostrar 4 caminhos antes de 1/2×1/2.</x:v>
      </x:c>
      <x:c r="N11" s="11" t="str">
        <x:v>READY</x:v>
      </x:c>
    </x:row>
    <x:row r="12">
      <x:c r="A12" t="str">
        <x:v>SH11</x:v>
      </x:c>
      <x:c r="B12" t="str">
        <x:v>S06</x:v>
      </x:c>
      <x:c r="C12" t="n">
        <x:v>335</x:v>
      </x:c>
      <x:c r="D12" t="n">
        <x:v>365</x:v>
      </x:c>
      <x:c r="E12" s="11" t="str">
        <x:v>ANTES: urna 3A/2V.</x:v>
      </x:c>
      <x:c r="F12" s="11" t="str">
        <x:v>C01 retira UMA azul.</x:v>
      </x:c>
      <x:c r="G12" s="11" t="str">
        <x:v>Contadores: azul 3, total 5.</x:v>
      </x:c>
      <x:c r="H12" s="11" t="str">
        <x:v>Plano médio.</x:v>
      </x:c>
      <x:c r="I12" s="11" t="str">
        <x:v>3/5</x:v>
      </x:c>
      <x:c r="J12" s="11" t="str">
        <x:v>Primeira retirada.</x:v>
      </x:c>
      <x:c r="K12" s="11" t="str">
        <x:v>Retirada.</x:v>
      </x:c>
      <x:c r="L12" s="11" t="str">
        <x:v>State mutation.</x:v>
      </x:c>
      <x:c r="M12" s="11" t="str">
        <x:v>Estado inicial deve ter exatamente 5 bolas.</x:v>
      </x:c>
      <x:c r="N12" s="11" t="str">
        <x:v>READY</x:v>
      </x:c>
    </x:row>
    <x:row r="13">
      <x:c r="A13" t="str">
        <x:v>SH12</x:v>
      </x:c>
      <x:c r="B13" t="str">
        <x:v>S06</x:v>
      </x:c>
      <x:c r="C13" t="n">
        <x:v>365</x:v>
      </x:c>
      <x:c r="D13" t="n">
        <x:v>410</x:v>
      </x:c>
      <x:c r="E13" s="11" t="str">
        <x:v>DEPOIS: urna 2A/2V + azul na mão.</x:v>
      </x:c>
      <x:c r="F13" s="11" t="str">
        <x:v>C01 segura a azul fora da urna.</x:v>
      </x:c>
      <x:c r="G13" s="11" t="str">
        <x:v>Contadores mudam 3→2 e 5→4; 2/4.</x:v>
      </x:c>
      <x:c r="H13" s="11" t="str">
        <x:v>Plano médio+overlay.</x:v>
      </x:c>
      <x:c r="I13" s="11" t="str">
        <x:v>2/4</x:v>
      </x:c>
      <x:c r="J13" s="11" t="str">
        <x:v>'o cenário mudou'</x:v>
      </x:c>
      <x:c r="K13" s="11" t="str">
        <x:v>Resolve.</x:v>
      </x:c>
      <x:c r="L13" s="11" t="str">
        <x:v>Before→after.</x:v>
      </x:c>
      <x:c r="M13" s="11" t="str">
        <x:v>Estado final deve ter exatamente 4 bolas dentro: 2 azuis + 2 vermelhas.</x:v>
      </x:c>
      <x:c r="N13" s="11" t="str">
        <x:v>READY</x:v>
      </x:c>
    </x:row>
    <x:row r="14">
      <x:c r="A14" t="str">
        <x:v>SH13</x:v>
      </x:c>
      <x:c r="B14" t="str">
        <x:v>S07</x:v>
      </x:c>
      <x:c r="C14" t="n">
        <x:v>410</x:v>
      </x:c>
      <x:c r="D14" t="n">
        <x:v>445</x:v>
      </x:c>
      <x:c r="E14" s="11" t="str">
        <x:v>Três caminhos contendo ≥1 vermelha.</x:v>
      </x:c>
      <x:c r="F14" s="11" t="str">
        <x:v>C01 acompanha e demonstra leve sobrecarga.</x:v>
      </x:c>
      <x:c r="G14" s="11" t="str">
        <x:v>BR, RB, RR aparecem.</x:v>
      </x:c>
      <x:c r="H14" s="11" t="str">
        <x:v>Gráfico com personagem pequeno.</x:v>
      </x:c>
      <x:c r="I14" s="11" t="str">
        <x:v>VÁRIOS CAMINHOS</x:v>
      </x:c>
      <x:c r="J14" s="11" t="str">
        <x:v>Introdução ao complemento.</x:v>
      </x:c>
      <x:c r="K14" s="11" t="str">
        <x:v>Camadas.</x:v>
      </x:c>
      <x:c r="L14" s="11" t="str">
        <x:v>Complex build.</x:v>
      </x:c>
      <x:c r="M14" s="11" t="str">
        <x:v>Incluir exatamente BR, RB e RR.</x:v>
      </x:c>
      <x:c r="N14" s="11" t="str">
        <x:v>READY</x:v>
      </x:c>
    </x:row>
    <x:row r="15">
      <x:c r="A15" t="str">
        <x:v>SH14</x:v>
      </x:c>
      <x:c r="B15" t="str">
        <x:v>S07</x:v>
      </x:c>
      <x:c r="C15" t="n">
        <x:v>445</x:v>
      </x:c>
      <x:c r="D15" t="n">
        <x:v>485</x:v>
      </x:c>
      <x:c r="E15" s="11" t="str">
        <x:v>Tela limpa; só BB.</x:v>
      </x:c>
      <x:c r="F15" s="11" t="str">
        <x:v>C01 percebe simplificação e sai.</x:v>
      </x:c>
      <x:c r="G15" s="11" t="str">
        <x:v>BB isolado; 3/5×2/4=30%; depois 1−30%=70%.</x:v>
      </x:c>
      <x:c r="H15" s="11" t="str">
        <x:v>Gráfico.</x:v>
      </x:c>
      <x:c r="I15" s="11" t="str">
        <x:v>QUAL O CONTRÁRIO?</x:v>
      </x:c>
      <x:c r="J15" s="11" t="str">
        <x:v>Atalho do complemento.</x:v>
      </x:c>
      <x:c r="K15" s="11" t="str">
        <x:v>Silêncio+resolve.</x:v>
      </x:c>
      <x:c r="L15" s="11" t="str">
        <x:v>Complex→simple.</x:v>
      </x:c>
      <x:c r="M15" s="11" t="str">
        <x:v>Deixar explícito: 30% = duas azuis; 70% = pelo menos uma vermelha.</x:v>
      </x:c>
      <x:c r="N15" s="11" t="str">
        <x:v>READY</x:v>
      </x:c>
    </x:row>
    <x:row r="16">
      <x:c r="A16" t="str">
        <x:v>SH15</x:v>
      </x:c>
      <x:c r="B16" t="str">
        <x:v>S08</x:v>
      </x:c>
      <x:c r="C16" t="n">
        <x:v>485</x:v>
      </x:c>
      <x:c r="D16" t="n">
        <x:v>505</x:v>
      </x:c>
      <x:c r="E16" s="11" t="str">
        <x:v>Nova urna 4A/3V.</x:v>
      </x:c>
      <x:c r="F16" s="11" t="str">
        <x:v>C01 observa; nenhuma dica.</x:v>
      </x:c>
      <x:c r="G16" s="11" t="str">
        <x:v>Pergunta apenas.</x:v>
      </x:c>
      <x:c r="H16" s="11" t="str">
        <x:v>Plano médio.</x:v>
      </x:c>
      <x:c r="I16" s="11" t="str">
        <x:v>PELO MENOS UMA VERMELHA?</x:v>
      </x:c>
      <x:c r="J16" s="11" t="str">
        <x:v>Convite ao espectador.</x:v>
      </x:c>
      <x:c r="K16" s="11" t="str">
        <x:v>Silêncio 2–3 s.</x:v>
      </x:c>
      <x:c r="L16" s="11" t="str">
        <x:v>Hold.</x:v>
      </x:c>
      <x:c r="M16" s="11" t="str">
        <x:v>Exatamente 4 azuis + 3 vermelhas.</x:v>
      </x:c>
      <x:c r="N16" s="11" t="str">
        <x:v>READY</x:v>
      </x:c>
    </x:row>
    <x:row r="17">
      <x:c r="A17" t="str">
        <x:v>SH16</x:v>
      </x:c>
      <x:c r="B17" t="str">
        <x:v>S08</x:v>
      </x:c>
      <x:c r="C17" t="n">
        <x:v>505</x:v>
      </x:c>
      <x:c r="D17" t="n">
        <x:v>540</x:v>
      </x:c>
      <x:c r="E17" s="11" t="str">
        <x:v>Resolução.</x:v>
      </x:c>
      <x:c r="F17" s="11" t="str">
        <x:v>C01 sai.</x:v>
      </x:c>
      <x:c r="G17" s="11" t="str">
        <x:v>4/7×3/6=2/7; 1−2/7=5/7≈71,4%.</x:v>
      </x:c>
      <x:c r="H17" s="11" t="str">
        <x:v>Gráfico.</x:v>
      </x:c>
      <x:c r="I17" s="11" t="str">
        <x:v>5/7 ≈ 71,4%</x:v>
      </x:c>
      <x:c r="J17" s="11" t="str">
        <x:v>Revelação.</x:v>
      </x:c>
      <x:c r="K17" s="11" t="str">
        <x:v>Resolve.</x:v>
      </x:c>
      <x:c r="L17" s="11" t="str">
        <x:v>Practice reveal.</x:v>
      </x:c>
      <x:c r="M17" s="11" t="str">
        <x:v>Ordem matemática correta e sem atalhos ambíguos.</x:v>
      </x:c>
      <x:c r="N17" s="11" t="str">
        <x:v>READY</x:v>
      </x:c>
    </x:row>
    <x:row r="18">
      <x:c r="A18" t="str">
        <x:v>SH17</x:v>
      </x:c>
      <x:c r="B18" t="str">
        <x:v>S09</x:v>
      </x:c>
      <x:c r="C18" t="n">
        <x:v>540</x:v>
      </x:c>
      <x:c r="D18" t="n">
        <x:v>560</x:v>
      </x:c>
      <x:c r="E18" s="11" t="str">
        <x:v>4 cartões.</x:v>
      </x:c>
      <x:c r="F18" s="11" t="str">
        <x:v>Nenhum.</x:v>
      </x:c>
      <x:c r="G18" s="11" t="str">
        <x:v>Espaço amostral; favoráveis; E; complemento.</x:v>
      </x:c>
      <x:c r="H18" s="11" t="str">
        <x:v>Gráfico.</x:v>
      </x:c>
      <x:c r="I18" s="11" t="str">
        <x:v>ENTENDA VENDO</x:v>
      </x:c>
      <x:c r="J18" s="11" t="str">
        <x:v>Recap.</x:v>
      </x:c>
      <x:c r="K18" s="11" t="str">
        <x:v>Fechamento.</x:v>
      </x:c>
      <x:c r="L18" s="11" t="str">
        <x:v>Cards→brand.</x:v>
      </x:c>
      <x:c r="M18" s="11" t="str">
        <x:v>Nenhum conceito novo.</x:v>
      </x:c>
      <x:c r="N18" s="11" t="str">
        <x:v>READY</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78" hidden="0" customWidth="1"/>
    <x:col min="3" max="3" width="76" hidden="0" customWidth="1"/>
  </x:cols>
  <x:sheetData>
    <x:row r="1">
      <x:c r="A1" s="77" t="str">
        <x:v>Field</x:v>
      </x:c>
      <x:c r="B1" s="77" t="str">
        <x:v>Primary</x:v>
      </x:c>
      <x:c r="C1" s="77" t="str">
        <x:v>Alternatives / Notes</x:v>
      </x:c>
    </x:row>
    <x:row r="2">
      <x:c r="A2" t="str">
        <x:v>WorkingTitle</x:v>
      </x:c>
      <x:c r="B2" s="11" t="str">
        <x:v>Probabilidade para Concursos: entenda visualmente e pare de decorar fórmula</x:v>
      </x:c>
      <x:c r="C2" s="11" t="str">
        <x:v>Alternativas: 'Probabilidade do zero: veja as possibilidades antes da fórmula'; 'Probabilidade para concursos sem decorar fórmula'.</x:v>
      </x:c>
    </x:row>
    <x:row r="3">
      <x:c r="A3" t="str">
        <x:v>ThumbnailText</x:v>
      </x:c>
      <x:c r="B3" s="11" t="str">
        <x:v>POR QUE MUDOU?</x:v>
      </x:c>
      <x:c r="C3" s="11" t="str">
        <x:v>Não repetir o título completo na thumbnail.</x:v>
      </x:c>
    </x:row>
    <x:row r="4">
      <x:c r="A4" t="str">
        <x:v>OpeningPromise</x:v>
      </x:c>
      <x:c r="B4" s="11" t="str">
        <x:v>Você vai entender de onde a probabilidade nasce antes de usar qualquer fórmula.</x:v>
      </x:c>
      <x:c r="C4" s="11" t="str">
        <x:v>Primeiros 20–25 s.</x:v>
      </x:c>
    </x:row>
    <x:row r="5">
      <x:c r="A5" t="str">
        <x:v>DescriptionHook</x:v>
      </x:c>
      <x:c r="B5" s="11" t="str">
        <x:v>Probabilidade parece fórmula até você enxergar as possibilidades. Neste vídeo, espaço amostral, eventos 'E' e 'OU', sem reposição e complemento são construídos visualmente.</x:v>
      </x:c>
      <x:c r="C5" s="11" t="str">
        <x:v>Evitar descrição inflada.</x:v>
      </x:c>
    </x:row>
    <x:row r="6">
      <x:c r="A6" t="str">
        <x:v>Chapters</x:v>
      </x:c>
      <x:c r="B6" s="11" t="str">
        <x:v>00:00 Qual a chance?
00:25 De onde vem a probabilidade
01:20 Espaço amostral
02:30 Evento OU
04:00 Evento E
05:35 Sem reposição
06:50 Complemento
08:05 Questão final
09:00 Recapitulação</x:v>
      </x:c>
      <x:c r="C6" s="11" t="str">
        <x:v>Revisar timestamps após corte final.</x:v>
      </x:c>
    </x:row>
    <x:row r="7">
      <x:c r="A7" t="str">
        <x:v>PinnedComment</x:v>
      </x:c>
      <x:c r="B7" s="11" t="str">
        <x:v>Qual parte ficou mais clara vendo acontecer: o evento E, a retirada sem reposição ou o complemento?</x:v>
      </x:c>
      <x:c r="C7" s="11" t="str">
        <x:v>Serve como pesquisa qualitativa do formato visual.</x:v>
      </x:c>
    </x:row>
    <x:row r="8">
      <x:c r="A8" t="str">
        <x:v>CTA</x:v>
      </x:c>
      <x:c r="B8" s="11" t="str">
        <x:v>Nenhum CTA verbal no início. CTA final opcional de uma frase após o recap.</x:v>
      </x:c>
      <x:c r="C8" s="11" t="str">
        <x:v>Priorizar retenção e identidade no MVP.</x:v>
      </x:c>
    </x:row>
    <x:row r="9">
      <x:c r="A9" t="str">
        <x:v>SearchIntent</x:v>
      </x:c>
      <x:c r="B9" s="11" t="str">
        <x:v>probabilidade concurso; probabilidade para concursos; probabilidade do zero</x:v>
      </x:c>
      <x:c r="C9" s="11" t="str">
        <x:v>Usar naturalmente em título/descrição; não keyword stuffing.</x:v>
      </x:c>
    </x:row>
    <x:row r="10">
      <x:c r="A10" t="str">
        <x:v>UploadExperiment</x:v>
      </x:c>
      <x:c r="B10" s="11" t="str">
        <x:v>Publicar com thumbnail A2 corrigida. Guardar variante 'VEJA. NÃO DECORE.' para eventual teste posterior.</x:v>
      </x:c>
      <x:c r="C10" s="11" t="str">
        <x:v>Não fazer teste simultâneo antes de haver tráfego suficiente.</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66" hidden="0" customWidth="1"/>
    <x:col min="3" max="3" width="20" hidden="0" customWidth="1"/>
    <x:col min="4" max="4" width="18" hidden="0" customWidth="1"/>
    <x:col min="5" max="5" width="70" hidden="0" customWidth="1"/>
  </x:cols>
  <x:sheetData>
    <x:row r="1">
      <x:c r="A1" s="79" t="str">
        <x:v>Gate</x:v>
      </x:c>
      <x:c r="B1" s="79" t="str">
        <x:v>Requirement</x:v>
      </x:c>
      <x:c r="C1" s="79" t="str">
        <x:v>CurrentStatus</x:v>
      </x:c>
      <x:c r="D1" s="79" t="str">
        <x:v>Blocking?</x:v>
      </x:c>
      <x:c r="E1" s="79" t="str">
        <x:v>NextAction</x:v>
      </x:c>
    </x:row>
    <x:row r="2">
      <x:c r="A2" t="str">
        <x:v>G01 Visual direction</x:v>
      </x:c>
      <x:c r="B2" s="11" t="str">
        <x:v>A2 styleboard passes adult/editorial + didactic QA.</x:v>
      </x:c>
      <x:c r="C2" s="11" t="str">
        <x:v>PASS</x:v>
      </x:c>
      <x:c r="D2" s="11" t="str">
        <x:v>NO</x:v>
      </x:c>
      <x:c r="E2" s="11" t="str">
        <x:v>Use as visual reference.</x:v>
      </x:c>
    </x:row>
    <x:row r="3">
      <x:c r="A3" t="str">
        <x:v>G02 Character</x:v>
      </x:c>
      <x:c r="B3" s="11" t="str">
        <x:v>C01 character reference approved for style consistency.</x:v>
      </x:c>
      <x:c r="C3" s="11" t="str">
        <x:v>PASS_REFERENCE</x:v>
      </x:c>
      <x:c r="D3" s="11" t="str">
        <x:v>NO</x:v>
      </x:c>
      <x:c r="E3" s="11" t="str">
        <x:v>Create/vector-rig master before animation.</x:v>
      </x:c>
    </x:row>
    <x:row r="4">
      <x:c r="A4" t="str">
        <x:v>G03 Mathematics</x:v>
      </x:c>
      <x:c r="B4" s="11" t="str">
        <x:v>Every visual state matches script and formulas.</x:v>
      </x:c>
      <x:c r="C4" s="11" t="str">
        <x:v>PASS_MATH_TESTS_ONLY</x:v>
      </x:c>
      <x:c r="D4" s="11" t="str">
        <x:v>NO</x:v>
      </x:c>
      <x:c r="E4" s="11" t="str">
        <x:v>Conferir todos os frames gerados e sincronização com voz depois do render.</x:v>
      </x:c>
    </x:row>
    <x:row r="5">
      <x:c r="A5" t="str">
        <x:v>G04 Thumbnail</x:v>
      </x:c>
      <x:c r="B5" s="11" t="str">
        <x:v>Before/after ball counts must match 3/5→2/4.</x:v>
      </x:c>
      <x:c r="C5" s="11" t="str">
        <x:v>COUNT_QA_PASS_STYLE_DRAFT</x:v>
      </x:c>
      <x:c r="D5" s="11" t="str">
        <x:v>YES_FINAL_STYLE</x:v>
      </x:c>
      <x:c r="E5" s="11" t="str">
        <x:v>Aprovar estética e legibilidade móvel antes da publicação.</x:v>
      </x:c>
    </x:row>
    <x:row r="6">
      <x:c r="A6" t="str">
        <x:v>G05 Voice</x:v>
      </x:c>
      <x:c r="B6" s="11" t="str">
        <x:v>Choose voice identity (male/female or specific TTS voice).</x:v>
      </x:c>
      <x:c r="C6" s="11" t="str">
        <x:v>UNDECIDED</x:v>
      </x:c>
      <x:c r="D6" s="11" t="str">
        <x:v>YES_BEFORE_AUDIO</x:v>
      </x:c>
      <x:c r="E6" s="11" t="str">
        <x:v>Needs user approval when production reaches voice generation.</x:v>
      </x:c>
    </x:row>
    <x:row r="7">
      <x:c r="A7" t="str">
        <x:v>G06 Animation tool</x:v>
      </x:c>
      <x:c r="B7" s="11" t="str">
        <x:v>Choose/confirm toolchain capable of consistent character + motion graphics.</x:v>
      </x:c>
      <x:c r="C7" s="11" t="str">
        <x:v>APPROVED_NOT_RUNTIME_VALIDATED</x:v>
      </x:c>
      <x:c r="D7" s="11" t="str">
        <x:v>NO</x:v>
      </x:c>
      <x:c r="E7" s="11" t="str">
        <x:v>Código criado; npm remoto indisponível neste ambiente (EAI_AGAIN); executar Studio/render externamente.</x:v>
      </x:c>
    </x:row>
    <x:row r="8">
      <x:c r="A8" t="str">
        <x:v>G07 Publish metadata</x:v>
      </x:c>
      <x:c r="B8" s="11" t="str">
        <x:v>Working title, description strategy, chapters, CTA policy.</x:v>
      </x:c>
      <x:c r="C8" s="11" t="str">
        <x:v>PASS_DRAFT</x:v>
      </x:c>
      <x:c r="D8" s="11" t="str">
        <x:v>NO</x:v>
      </x:c>
      <x:c r="E8" s="11" t="str">
        <x:v>Finalize after render duration is known.</x:v>
      </x:c>
    </x:row>
  </x:sheetData>
  <x:conditionalFormatting sqref="C2:C8">
    <x:cfRule type="expression" dxfId="10" priority="1">
      <x:formula>LEFT(C2,4)="PASS"</x:formula>
    </x:cfRule>
    <x:cfRule type="expression" dxfId="11" priority="2">
      <x:formula>LEFT(C2,4)="FAIL"</x:formula>
    </x:cfRule>
    <x:cfRule type="expression" dxfId="12" priority="3">
      <x:formula>C2="UNDECIDED"</x:formula>
    </x:cfRule>
  </x:conditionalFormatting>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34" hidden="0" customWidth="1"/>
    <x:col min="3" max="3" width="70" hidden="0" customWidth="1"/>
    <x:col min="4" max="4" width="34" hidden="0" customWidth="1"/>
    <x:col min="5" max="5" width="74" hidden="0" customWidth="1"/>
    <x:col min="6" max="6" width="24" hidden="0" customWidth="1"/>
  </x:cols>
  <x:sheetData>
    <x:row r="1">
      <x:c r="A1" s="81" t="str">
        <x:v>Layer</x:v>
      </x:c>
      <x:c r="B1" s="81" t="str">
        <x:v>Primary Tool</x:v>
      </x:c>
      <x:c r="C1" s="81" t="str">
        <x:v>Why</x:v>
      </x:c>
      <x:c r="D1" s="81" t="str">
        <x:v>Use AI?</x:v>
      </x:c>
      <x:c r="E1" s="81" t="str">
        <x:v>Risk Control</x:v>
      </x:c>
      <x:c r="F1" s="81" t="str">
        <x:v>Status</x:v>
      </x:c>
    </x:row>
    <x:row r="2">
      <x:c r="A2" t="str">
        <x:v>Source of truth</x:v>
      </x:c>
      <x:c r="B2" t="str">
        <x:v>Remotion / React</x:v>
      </x:c>
      <x:c r="C2" s="11" t="str">
        <x:v>Parametrized, deterministic, reusable, renderable by CLI/API/cloud; ideal for channel scale.</x:v>
      </x:c>
      <x:c r="D2" s="11" t="str">
        <x:v>YES — coding agents can edit components/data.</x:v>
      </x:c>
      <x:c r="E2" s="11" t="str">
        <x:v>Code owns timing, text, formulas, counts and transitions.</x:v>
      </x:c>
      <x:c r="F2" s="11" t="str">
        <x:v>APPROVED</x:v>
      </x:c>
    </x:row>
    <x:row r="3">
      <x:c r="A3" t="str">
        <x:v>Diagrams / formulas</x:v>
      </x:c>
      <x:c r="B3" t="str">
        <x:v>Remotion SVG/CSS</x:v>
      </x:c>
      <x:c r="C3" s="11" t="str">
        <x:v>Exact math and reproducible visuals.</x:v>
      </x:c>
      <x:c r="D3" s="11" t="str">
        <x:v>YES — generate code/spec, not raster math.</x:v>
      </x:c>
      <x:c r="E3" s="11" t="str">
        <x:v>Never ask image/video model to write equations or count critical objects.</x:v>
      </x:c>
      <x:c r="F3" s="11" t="str">
        <x:v>APPROVED</x:v>
      </x:c>
    </x:row>
    <x:row r="4">
      <x:c r="A4" t="str">
        <x:v>Character concept</x:v>
      </x:c>
      <x:c r="B4" t="str">
        <x:v>ChatGPT Images</x:v>
      </x:c>
      <x:c r="C4" s="11" t="str">
        <x:v>Fast direction exploration and styleframes.</x:v>
      </x:c>
      <x:c r="D4" s="11" t="str">
        <x:v>YES</x:v>
      </x:c>
      <x:c r="E4" s="11" t="str">
        <x:v>Use as reference; not frame-by-frame source of truth.</x:v>
      </x:c>
      <x:c r="F4" s="11" t="str">
        <x:v>APPROVED</x:v>
      </x:c>
    </x:row>
    <x:row r="5">
      <x:c r="A5" t="str">
        <x:v>Character consistency</x:v>
      </x:c>
      <x:c r="B5" t="str">
        <x:v>Vector/rig master + optional Runway Gen-4 References</x:v>
      </x:c>
      <x:c r="C5" s="11" t="str">
        <x:v>References can help generate consistent character variations; rig is safer for repeated motion.</x:v>
      </x:c>
      <x:c r="D5" s="11" t="str">
        <x:v>OPTIONAL</x:v>
      </x:c>
      <x:c r="E5" s="11" t="str">
        <x:v>Approve one master first; generated variants require visual QA.</x:v>
      </x:c>
      <x:c r="F5" s="11" t="str">
        <x:v>APPROVED_WITH_QA</x:v>
      </x:c>
    </x:row>
    <x:row r="6">
      <x:c r="A6" t="str">
        <x:v>Motion graphics</x:v>
      </x:c>
      <x:c r="B6" t="str">
        <x:v>Remotion</x:v>
      </x:c>
      <x:c r="C6" s="11" t="str">
        <x:v>Reusable motion system fits future automated pipeline.</x:v>
      </x:c>
      <x:c r="D6" s="11" t="str">
        <x:v>YES</x:v>
      </x:c>
      <x:c r="E6" s="11" t="str">
        <x:v>Components + scene JSON are versionable and testable.</x:v>
      </x:c>
      <x:c r="F6" s="11" t="str">
        <x:v>APPROVED</x:v>
      </x:c>
    </x:row>
    <x:row r="7">
      <x:c r="A7" t="str">
        <x:v>Special polish</x:v>
      </x:c>
      <x:c r="B7" t="str">
        <x:v>After Effects</x:v>
      </x:c>
      <x:c r="C7" s="11" t="str">
        <x:v>Useful only for shots where custom polish materially improves result.</x:v>
      </x:c>
      <x:c r="D7" s="11" t="str">
        <x:v>OPTIONAL</x:v>
      </x:c>
      <x:c r="E7" s="11" t="str">
        <x:v>Do not move source of truth away from Remotion.</x:v>
      </x:c>
      <x:c r="F7" s="11" t="str">
        <x:v>OPTIONAL</x:v>
      </x:c>
    </x:row>
    <x:row r="8">
      <x:c r="A8" t="str">
        <x:v>Narration</x:v>
      </x:c>
      <x:c r="B8" t="str">
        <x:v>ElevenLabs PT-BR shortlist</x:v>
      </x:c>
      <x:c r="C8" s="11" t="str">
        <x:v>Explicit Brazilian Portuguese support and regional voice selection.</x:v>
      </x:c>
      <x:c r="D8" s="11" t="str">
        <x:v>YES</x:v>
      </x:c>
      <x:c r="E8" s="11" t="str">
        <x:v>Generate 3 same-text samples before locking voice.</x:v>
      </x:c>
      <x:c r="F8" s="11" t="str">
        <x:v>PENDING_VOICE_APPROVAL</x:v>
      </x:c>
    </x:row>
    <x:row r="9">
      <x:c r="A9" t="str">
        <x:v>Alternative narration</x:v>
      </x:c>
      <x:c r="B9" t="str">
        <x:v>OpenAI TTS</x:v>
      </x:c>
      <x:c r="C9" s="11" t="str">
        <x:v>Supports Portuguese and controllable delivery.</x:v>
      </x:c>
      <x:c r="D9" s="11" t="str">
        <x:v>YES</x:v>
      </x:c>
      <x:c r="E9" s="11" t="str">
        <x:v>Built-in voices currently optimized for English; evaluate PT-BR naturalness.</x:v>
      </x:c>
      <x:c r="F9" s="11" t="str">
        <x:v>BACKUP</x:v>
      </x:c>
    </x:row>
    <x:row r="10">
      <x:c r="A10" t="str">
        <x:v>Audio cleanup</x:v>
      </x:c>
      <x:c r="B10" t="str">
        <x:v>Adobe Podcast Enhance</x:v>
      </x:c>
      <x:c r="C10" s="11" t="str">
        <x:v>Useful for human/hybrid voice cleanup.</x:v>
      </x:c>
      <x:c r="D10" s="11" t="str">
        <x:v>OPTIONAL</x:v>
      </x:c>
      <x:c r="E10" s="11" t="str">
        <x:v>Not necessary for clean TTS unless processing adds value.</x:v>
      </x:c>
      <x:c r="F10" s="11" t="str">
        <x:v>OPTIONAL</x:v>
      </x:c>
    </x:row>
    <x:row r="11">
      <x:c r="A11" t="str">
        <x:v>Final assembly/render</x:v>
      </x:c>
      <x:c r="B11" t="str">
        <x:v>Remotion</x:v>
      </x:c>
      <x:c r="C11" s="11" t="str">
        <x:v>Single render pipeline for visuals, audio and captions.</x:v>
      </x:c>
      <x:c r="D11" s="11" t="str">
        <x:v>YES</x:v>
      </x:c>
      <x:c r="E11" s="11" t="str">
        <x:v>QA output against FinalShotSpec before upload.</x:v>
      </x:c>
      <x:c r="F11" s="11" t="str">
        <x:v>APPROVED</x:v>
      </x:c>
    </x:row>
  </x:sheetData>
  <x:conditionalFormatting sqref="F2:F11">
    <x:cfRule type="expression" dxfId="13" priority="1">
      <x:formula>LEFT(F2,8)="APPROVED"</x:formula>
    </x:cfRule>
    <x:cfRule type="expression" dxfId="14" priority="2">
      <x:formula>LEFT(F2,7)="PENDING"</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26" hidden="0" customWidth="1"/>
    <x:col min="2" max="2" width="58" hidden="0" customWidth="1"/>
    <x:col min="3" max="3" width="78" hidden="0" customWidth="1"/>
    <x:col min="4" max="4" width="24" hidden="0" customWidth="1"/>
  </x:cols>
  <x:sheetData>
    <x:row r="1">
      <x:c r="A1" s="83" t="str">
        <x:v>Artifact</x:v>
      </x:c>
      <x:c r="B1" s="83" t="str">
        <x:v>Path / filename</x:v>
      </x:c>
      <x:c r="C1" s="83" t="str">
        <x:v>Purpose</x:v>
      </x:c>
      <x:c r="D1" s="83" t="str">
        <x:v>Status</x:v>
      </x:c>
    </x:row>
    <x:row r="2">
      <x:c r="A2" t="str">
        <x:v>Production pack</x:v>
      </x:c>
      <x:c r="B2" s="11" t="str">
        <x:v>entenda_vendo_mvp01_production_pack_v0.4_pipeline_locked.xlsx</x:v>
      </x:c>
      <x:c r="C2" s="11" t="str">
        <x:v>Master operational plan.</x:v>
      </x:c>
      <x:c r="D2" s="11" t="str">
        <x:v>CURRENT</x:v>
      </x:c>
    </x:row>
    <x:row r="3">
      <x:c r="A3" t="str">
        <x:v>Remotion bundle</x:v>
      </x:c>
      <x:c r="B3" s="11" t="str">
        <x:v>entenda-vendo-remotion-mvp01-v0.5-source.zip</x:v>
      </x:c>
      <x:c r="C3" s="11" t="str">
        <x:v>Código, assets SVG/PNG, testes, narração e docs; sem node_modules e sem MP4.</x:v>
      </x:c>
      <x:c r="D3" s="11" t="str">
        <x:v>SOURCE_DELIVERED_RUNTIME_UNVERIFIED</x:v>
      </x:c>
    </x:row>
    <x:row r="4">
      <x:c r="A4" t="str">
        <x:v>Styleboard</x:v>
      </x:c>
      <x:c r="B4" s="11" t="str">
        <x:v>probability_explained_visually.png</x:v>
      </x:c>
      <x:c r="C4" s="11" t="str">
        <x:v>Approved visual direction reference.</x:v>
      </x:c>
      <x:c r="D4" s="11" t="str">
        <x:v>REFERENCE_APPROVED</x:v>
      </x:c>
    </x:row>
    <x:row r="5">
      <x:c r="A5" t="str">
        <x:v>Character sheet</x:v>
      </x:c>
      <x:c r="B5" s="11" t="str">
        <x:v>eight_pose_character_illustration_sheet.png</x:v>
      </x:c>
      <x:c r="C5" s="11" t="str">
        <x:v>Character reference only; not final sprite rig.</x:v>
      </x:c>
      <x:c r="D5" s="11" t="str">
        <x:v>REFERENCE_APPROVED</x:v>
      </x:c>
    </x:row>
    <x:row r="6">
      <x:c r="A6" t="str">
        <x:v>Thumbnail old</x:v>
      </x:c>
      <x:c r="B6" s="11" t="str">
        <x:v>por_que_mudou_bolas_e_frações.png</x:v>
      </x:c>
      <x:c r="C6" s="11" t="str">
        <x:v>Rejected due ambiguous ball-state count.</x:v>
      </x:c>
      <x:c r="D6" s="11" t="str">
        <x:v>REJECTED</x:v>
      </x:c>
    </x:row>
    <x:row r="7">
      <x:c r="A7" t="str">
        <x:v>Thumbnail v0.5</x:v>
      </x:c>
      <x:c r="B7" t="str">
        <x:v>assets/thumbnail_verified.png</x:v>
      </x:c>
      <x:c r="C7" t="str">
        <x:v>3A/2V → 2A/2V + uma azul fora; inspeção visual e XML.</x:v>
      </x:c>
      <x:c r="D7" t="str">
        <x:v>STATIC_COUNT_QA_PASS</x:v>
      </x:c>
    </x:row>
    <x:row r="8">
      <x:c r="A8" t="str">
        <x:v>Rig personagens v0.5</x:v>
      </x:c>
      <x:c r="B8" t="str">
        <x:v>assets/character_kit_A2.svg</x:v>
      </x:c>
      <x:c r="C8" t="str">
        <x:v>3 personagens com 5 poses vetoriais cada; revisão de estilo final pendente.</x:v>
      </x:c>
      <x:c r="D8" t="str">
        <x:v>VECTOR_CREATED_STYLE_PENDING</x:v>
      </x:c>
    </x:row>
    <x:row r="9">
      <x:c r="A9" t="str">
        <x:v>Roteiro e legendas</x:v>
      </x:c>
      <x:c r="B9" t="str">
        <x:v>src/data/narration.json; public/captions-draft.srt</x:v>
      </x:c>
      <x:c r="C9" t="str">
        <x:v>989 palavras / 133 cues estimados; sem voz aprovada.</x:v>
      </x:c>
      <x:c r="D9" t="str">
        <x:v>DRAFT_UNSYNCHRONIZED</x:v>
      </x:c>
    </x:row>
    <x:row r="10">
      <x:c r="A10" t="str">
        <x:v>Render de vídeo</x:v>
      </x:c>
      <x:c r="B10" t="str">
        <x:v>out/probabilidade.mp4</x:v>
      </x:c>
      <x:c r="C10" t="str">
        <x:v>Nenhum MP4 gerado neste ambiente devido a bloqueio de npm.</x:v>
      </x:c>
      <x:c r="D10" t="str">
        <x:v>NOT_RENDERED</x:v>
      </x:c>
    </x:row>
    <x:row r="11">
      <x:c r="A11" t="str">
        <x:v>Thumbnail A2 candidata</x:v>
      </x:c>
      <x:c r="B11" t="str">
        <x:v>assets/thumbnail_A2_concept_candidate.png</x:v>
      </x:c>
      <x:c r="C11" t="str">
        <x:v>Variante estética gerada por IA; conferir consistência da personagem/legibilidade antes da publicação.</x:v>
      </x:c>
      <x:c r="D11" t="str">
        <x:v>CREATIVE_DRAFT_NOT_MASTER</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30" hidden="0" customWidth="1"/>
    <x:col min="3" max="3" width="70" hidden="0" customWidth="1"/>
    <x:col min="4" max="4" width="30" hidden="0" customWidth="1"/>
  </x:cols>
  <x:sheetData>
    <x:row r="1" ht="27" customHeight="1">
      <x:c r="A1" s="87" t="str">
        <x:v>DELIVERY AUDIT — ENTENDA VENDO MVP01</x:v>
      </x:c>
      <x:c r="B1" s="87" t="str">
        <x:v>Versão 0.5 / 13-out-2026</x:v>
      </x:c>
      <x:c r="C1" s="87" t="str">
        <x:v>Evidence / blocker</x:v>
      </x:c>
      <x:c r="D1" s="87" t="str">
        <x:v>Confidence</x:v>
      </x:c>
    </x:row>
    <x:row r="2" ht="37" customHeight="1">
      <x:c r="A2" s="11" t="str">
        <x:v>9 cenas, 17 shots em código</x:v>
      </x:c>
      <x:c r="B2" s="11" t="str">
        <x:v>SOURCE_CREATED</x:v>
      </x:c>
      <x:c r="C2" s="11" t="str">
        <x:v>src/scenes/Shots.tsx; src/data/timeline.mjs</x:v>
      </x:c>
      <x:c r="D2" s="11" t="str">
        <x:v>STATIC_ONLY</x:v>
      </x:c>
    </x:row>
    <x:row r="3" ht="37" customHeight="1">
      <x:c r="A3" s="11" t="str">
        <x:v>Rig e personagens</x:v>
      </x:c>
      <x:c r="B3" s="11" t="str">
        <x:v>VECTOR_EXPORTED</x:v>
      </x:c>
      <x:c r="C3" s="11" t="str">
        <x:v>assets/character_kit_A2.svg/png; 3 personagens, 5 poses</x:v>
      </x:c>
      <x:c r="D3" s="11" t="str">
        <x:v>STYLE_REVIEW_PENDING</x:v>
      </x:c>
    </x:row>
    <x:row r="4" ht="37" customHeight="1">
      <x:c r="A4" s="11" t="str">
        <x:v>Thumbnail corrigida</x:v>
      </x:c>
      <x:c r="B4" s="11" t="str">
        <x:v>COUNT_QA_PASS</x:v>
      </x:c>
      <x:c r="C4" s="11" t="str">
        <x:v>SVG com contagem automática XML: 3A/2V; 2A/2V; azul fora</x:v>
      </x:c>
      <x:c r="D4" s="11" t="str">
        <x:v>PASS_COUNT; STYLE_DRAFT</x:v>
      </x:c>
    </x:row>
    <x:row r="5" ht="37" customHeight="1">
      <x:c r="A5" s="11" t="str">
        <x:v>Matemática</x:v>
      </x:c>
      <x:c r="B5" s="11" t="str">
        <x:v>TEST_PASS</x:v>
      </x:c>
      <x:c r="C5" s="11" t="str">
        <x:v>9 tests/node:test; probabilidades 30%,70%,2/7,5/7</x:v>
      </x:c>
      <x:c r="D5" s="11" t="str">
        <x:v>AUTOMATED_PASS</x:v>
      </x:c>
    </x:row>
    <x:row r="6" ht="37" customHeight="1">
      <x:c r="A6" s="11" t="str">
        <x:v>Roteiro</x:v>
      </x:c>
      <x:c r="B6" s="11" t="str">
        <x:v>DRAFT_CREATED</x:v>
      </x:c>
      <x:c r="C6" s="11" t="str">
        <x:v>989 palavras, 17 blocos correspondentes aos shots</x:v>
      </x:c>
      <x:c r="D6" s="11" t="str">
        <x:v>READTHROUGH_PENDING</x:v>
      </x:c>
    </x:row>
    <x:row r="7" ht="37" customHeight="1">
      <x:c r="A7" s="11" t="str">
        <x:v>SRT + VTT</x:v>
      </x:c>
      <x:c r="B7" s="11" t="str">
        <x:v>DRAFT_CREATED</x:v>
      </x:c>
      <x:c r="C7" s="11" t="str">
        <x:v>133 cues distribuídos por timeline; sem TTS</x:v>
      </x:c>
      <x:c r="D7" s="11" t="str">
        <x:v>AUDIO_SYNC_PENDING</x:v>
      </x:c>
    </x:row>
    <x:row r="8" ht="37" customHeight="1">
      <x:c r="A8" s="11" t="str">
        <x:v>Metadata</x:v>
      </x:c>
      <x:c r="B8" s="11" t="str">
        <x:v>DRAFT_CREATED</x:v>
      </x:c>
      <x:c r="C8" s="11" t="str">
        <x:v>docs/publish_metadata.md</x:v>
      </x:c>
      <x:c r="D8" s="11" t="str">
        <x:v>REVISION_ON_PUBLISH</x:v>
      </x:c>
    </x:row>
    <x:row r="9" ht="37" customHeight="1">
      <x:c r="A9" s="11" t="str">
        <x:v>Remotion / React</x:v>
      </x:c>
      <x:c r="B9" s="11" t="str">
        <x:v>SOURCE_CREATED</x:v>
      </x:c>
      <x:c r="C9" s="11" t="str">
        <x:v>Root.tsx, Shots.tsx, Artwork.tsx, index.ts</x:v>
      </x:c>
      <x:c r="D9" s="11" t="str">
        <x:v>RUNTIME_UNVERIFIED</x:v>
      </x:c>
    </x:row>
    <x:row r="10" ht="37" customHeight="1">
      <x:c r="A10" s="11" t="str">
        <x:v>Instalação npm</x:v>
      </x:c>
      <x:c r="B10" s="11" t="str">
        <x:v>BLOCKED</x:v>
      </x:c>
      <x:c r="C10" s="11" t="str">
        <x:v>npm view failed: EAI_AGAIN registry.npmjs.org</x:v>
      </x:c>
      <x:c r="D10" s="11" t="str">
        <x:v>NOT_TESTED</x:v>
      </x:c>
    </x:row>
    <x:row r="11" ht="37" customHeight="1">
      <x:c r="A11" s="11" t="str">
        <x:v>Render curta QA</x:v>
      </x:c>
      <x:c r="B11" s="11" t="str">
        <x:v>NOT_DONE</x:v>
      </x:c>
      <x:c r="C11" s="11" t="str">
        <x:v>Executar npm run render:preview quando deps disponíveis</x:v>
      </x:c>
      <x:c r="D11" s="11" t="str">
        <x:v>BLOCKED</x:v>
      </x:c>
    </x:row>
    <x:row r="12" ht="37" customHeight="1">
      <x:c r="A12" s="11" t="str">
        <x:v>Render 9min20</x:v>
      </x:c>
      <x:c r="B12" s="11" t="str">
        <x:v>NOT_DONE</x:v>
      </x:c>
      <x:c r="C12" s="11" t="str">
        <x:v>Executar npm run render + QA audiovisual após validação</x:v>
      </x:c>
      <x:c r="D12" s="11" t="str">
        <x:v>BLOCKED</x:v>
      </x:c>
    </x:row>
    <x:row r="13" ht="37" customHeight="1">
      <x:c r="A13" s="11" t="str">
        <x:v>Voz</x:v>
      </x:c>
      <x:c r="B13" s="11" t="str">
        <x:v>UNSELECTED</x:v>
      </x:c>
      <x:c r="C13" s="11" t="str">
        <x:v>Aprovação da voz PT-BR é decisão do usuário</x:v>
      </x:c>
      <x:c r="D13" s="11" t="str">
        <x:v>BLOCKER_BEFORE_FINAL</x:v>
      </x:c>
    </x:row>
    <x:row r="14" ht="37" customHeight="1">
      <x:c r="A14" s="11" t="str">
        <x:v>Revisão visual final</x:v>
      </x:c>
      <x:c r="B14" s="11" t="str">
        <x:v>PENDING</x:v>
      </x:c>
      <x:c r="C14" s="11" t="str">
        <x:v>Referências originais não anexadas; conferir personagem/thumb em escala móvel</x:v>
      </x:c>
      <x:c r="D14" s="11" t="str">
        <x:v>HUMAN_QA</x:v>
      </x:c>
    </x:row>
    <x:row r="15" ht="37" customHeight="1">
      <x:c r="A15" s="11" t="str">
        <x:v>QA técnico audiovisual</x:v>
      </x:c>
      <x:c r="B15" s="11" t="str">
        <x:v>PENDING</x:v>
      </x:c>
      <x:c r="C15" s="11" t="str">
        <x:v>Sem MP4/áudio real; precisa render integral e inspeção</x:v>
      </x:c>
      <x:c r="D15" s="11" t="str">
        <x:v>NOT_PASSED</x:v>
      </x:c>
    </x:row>
    <x:row r="16" ht="37" customHeight="1">
      <x:c r="A16" s="11" t="str">
        <x:v>Risco conceitual</x:v>
      </x:c>
      <x:c r="B16" s="11" t="str">
        <x:v>CONTROLLED</x:v>
      </x:c>
      <x:c r="C16" s="11" t="str">
        <x:v>Uma bola removida visível só uma vez em SH12; contagem deriva de math.mjs</x:v>
      </x:c>
      <x:c r="D16" s="11" t="str">
        <x:v>STATIC_PASS</x:v>
      </x:c>
    </x:row>
    <x:row r="17">
      <x:c r="A17" t="str">
        <x:v>Thumbnail alternativa A2</x:v>
      </x:c>
      <x:c r="B17" t="str">
        <x:v>CREATIVE_DRAFT</x:v>
      </x:c>
      <x:c r="C17" t="str">
        <x:v>assets/thumbnail_A2_concept_candidate.png; auditável é apenas SVG master</x:v>
      </x:c>
      <x:c r="D17" t="str">
        <x:v>STYLE_APPROVAL_PENDING</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7" hidden="0" customWidth="1"/>
    <x:col min="2" max="2" width="18" hidden="0" customWidth="1"/>
    <x:col min="3" max="3" width="22" hidden="0" customWidth="1"/>
    <x:col min="4" max="4" width="22" hidden="0" customWidth="1"/>
    <x:col min="5" max="5" width="18" hidden="0" customWidth="1"/>
    <x:col min="6" max="6" width="27" hidden="0" customWidth="1"/>
  </x:cols>
  <x:sheetData>
    <x:row r="1" ht="28" customHeight="1">
      <x:c r="A1" s="87" t="str">
        <x:v>Estado</x:v>
      </x:c>
      <x:c r="B1" s="87" t="str">
        <x:v>Azuis dentro</x:v>
      </x:c>
      <x:c r="C1" s="87" t="str">
        <x:v>Vermelhas dentro</x:v>
      </x:c>
      <x:c r="D1" s="87" t="str">
        <x:v>Azul retirado</x:v>
      </x:c>
      <x:c r="E1" s="87" t="str">
        <x:v>Total dentro</x:v>
      </x:c>
      <x:c r="F1" s="87" t="str">
        <x:v>Conservação (5/7)</x:v>
      </x:c>
    </x:row>
    <x:row r="2">
      <x:c r="A2" t="str">
        <x:v>Antes</x:v>
      </x:c>
      <x:c r="B2" t="n">
        <x:v>3</x:v>
      </x:c>
      <x:c r="C2" t="n">
        <x:v>2</x:v>
      </x:c>
      <x:c r="D2" t="n">
        <x:v>0</x:v>
      </x:c>
      <x:c r="E2" t="n">
        <x:f>B2+C2</x:f>
        <x:v>5</x:v>
      </x:c>
      <x:c r="F2" t="n">
        <x:f>E2+D2</x:f>
        <x:v>5</x:v>
      </x:c>
    </x:row>
    <x:row r="3">
      <x:c r="A3" t="str">
        <x:v>Depois</x:v>
      </x:c>
      <x:c r="B3" t="n">
        <x:v>2</x:v>
      </x:c>
      <x:c r="C3" t="n">
        <x:v>2</x:v>
      </x:c>
      <x:c r="D3" t="n">
        <x:v>1</x:v>
      </x:c>
      <x:c r="E3" t="n">
        <x:f>B3+C3</x:f>
        <x:v>4</x:v>
      </x:c>
      <x:c r="F3" t="n">
        <x:f>E3+D3</x:f>
        <x:v>5</x:v>
      </x:c>
    </x:row>
    <x:row r="6">
      <x:c r="A6" s="90" t="str">
        <x:v>Probabilidade</x:v>
      </x:c>
      <x:c r="B6" s="90" t="str">
        <x:v>Valor</x:v>
      </x:c>
    </x:row>
    <x:row r="7">
      <x:c r="A7" t="str">
        <x:v>Primeira azul</x:v>
      </x:c>
      <x:c r="B7" s="88" t="n">
        <x:f>B2/E2</x:f>
        <x:v>0.6</x:v>
      </x:c>
    </x:row>
    <x:row r="8">
      <x:c r="A8" t="str">
        <x:v>Segunda azul dado a primeira azul</x:v>
      </x:c>
      <x:c r="B8" s="88" t="n">
        <x:f>B3/E3</x:f>
        <x:v>0.5</x:v>
      </x:c>
    </x:row>
    <x:row r="9">
      <x:c r="A9" t="str">
        <x:v>Duas azuis</x:v>
      </x:c>
      <x:c r="B9" s="88" t="n">
        <x:f>B7*B8</x:f>
        <x:v>0.3</x:v>
      </x:c>
    </x:row>
    <x:row r="10">
      <x:c r="A10" t="str">
        <x:v>Pelo menos uma vermelha</x:v>
      </x:c>
      <x:c r="B10" s="88" t="n">
        <x:f>1-B9</x:f>
        <x:v>0.7</x:v>
      </x:c>
    </x:row>
    <x:row r="13">
      <x:c r="A13" t="str">
        <x:v>Nova urna antes</x:v>
      </x:c>
      <x:c r="B13" t="n">
        <x:v>4</x:v>
      </x:c>
      <x:c r="C13" t="n">
        <x:v>3</x:v>
      </x:c>
      <x:c r="D13" t="n">
        <x:v>0</x:v>
      </x:c>
      <x:c r="E13" t="n">
        <x:f>B13+C13</x:f>
        <x:v>7</x:v>
      </x:c>
    </x:row>
    <x:row r="14">
      <x:c r="A14" t="str">
        <x:v>Nova urna após uma azul</x:v>
      </x:c>
      <x:c r="B14" t="n">
        <x:v>3</x:v>
      </x:c>
      <x:c r="C14" t="n">
        <x:v>3</x:v>
      </x:c>
      <x:c r="D14" t="n">
        <x:v>1</x:v>
      </x:c>
      <x:c r="E14" t="n">
        <x:f>B14+C14</x:f>
        <x:v>6</x:v>
      </x:c>
    </x:row>
    <x:row r="16">
      <x:c r="A16" t="str">
        <x:v>P(duas azuis) — questão final</x:v>
      </x:c>
      <x:c r="B16" s="88" t="n">
        <x:f>(B13/E13)*(B14/E14)</x:f>
        <x:v>0.2857142857142857</x:v>
      </x:c>
    </x:row>
    <x:row r="17">
      <x:c r="A17" t="str">
        <x:v>P(pelo menos uma vermelha) — questão final</x:v>
      </x:c>
      <x:c r="B17" s="88" t="n">
        <x:f>1-B16</x:f>
        <x:v>0.7142857142857143</x:v>
      </x:c>
    </x:row>
  </x:sheetData>
  <x:pageMargins left="0.7" right="0.7" top="0.75" bottom="0.75" header="0.3" footer="0.3"/>
</x:worksheet>
</file>